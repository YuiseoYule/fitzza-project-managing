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080bd3c49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기능별 구현 task" sheetId="1" r:id="R3cdb0ae5398b40cf"/>
    <x:sheet xmlns:r="http://schemas.openxmlformats.org/officeDocument/2006/relationships" name="항목별 평가" sheetId="3" r:id="R65128b9a27064c24"/>
    <x:sheet xmlns:r="http://schemas.openxmlformats.org/officeDocument/2006/relationships" name="평가 기준" sheetId="4" r:id="Rce17ea329142463d"/>
    <x:sheet xmlns:r="http://schemas.openxmlformats.org/officeDocument/2006/relationships" name="Sheet1" sheetId="2" r:id="R06dce3fbe54b43f6"/>
  </x:sheets>
</x:workbook>
</file>

<file path=xl/sharedStrings.xml><?xml version="1.0" encoding="utf-8"?>
<x:sst xmlns:x="http://schemas.openxmlformats.org/spreadsheetml/2006/main">
  <x:si>
    <x:r>
      <x:rPr>
        <x:b/>
        <x:sz val="12"/>
        <x:color rgb="FF234A6F"/>
        <x:rFont val="맑은 고딕"/>
        <x:family val="3"/>
      </x:rPr>
      <x:t xml:space="preserve">개발 구현</x:t>
    </x:r>
    <x:r>
      <x:rPr>
        <x:b/>
        <x:sz val="12"/>
        <x:color rgb="FF234A6F"/>
        <x:rFont val="Arial"/>
        <x:family val="2"/>
      </x:rPr>
      <x:t xml:space="preserve"> </x:t>
    </x:r>
    <x:r>
      <x:rPr>
        <x:b/>
        <x:sz val="12"/>
        <x:color rgb="FF234A6F"/>
        <x:rFont val="맑은 고딕"/>
        <x:family val="3"/>
      </x:rPr>
      <x:t xml:space="preserve">과업</x:t>
    </x:r>
  </x:si>
  <x:si>
    <x:t xml:space="preserve">프론트엔드</x:t>
  </x:si>
  <x:si>
    <x:t xml:space="preserve">총합</x:t>
  </x:si>
  <x:si>
    <x:t xml:space="preserve">　계정과 사용자 프로필 (신준우)</x:t>
  </x:si>
  <x:si>
    <x:t xml:space="preserve">점수</x:t>
  </x:si>
  <x:si>
    <x:t xml:space="preserve">비율</x:t>
  </x:si>
  <x:si>
    <x:t xml:space="preserve">　　FR-ACC-01 회원가입 및 로그인(준우, 지현)</x:t>
  </x:si>
  <x:si>
    <x:t xml:space="preserve">　　　• 회원가입 입력 폼 구현</x:t>
  </x:si>
  <x:si>
    <x:t xml:space="preserve">합</x:t>
  </x:si>
  <x:si>
    <x:t xml:space="preserve">백엔드</x:t>
  </x:si>
  <x:si>
    <x:t xml:space="preserve">　　　• 로그인 입력 폼 구현</x:t>
  </x:si>
  <x:si>
    <x:t xml:space="preserve">계획</x:t>
  </x:si>
  <x:si>
    <x:t xml:space="preserve">　　　• 필수 입력값 검증 및 오류 메시지 구현</x:t>
  </x:si>
  <x:si>
    <x:t xml:space="preserve">분석설계</x:t>
  </x:si>
  <x:si>
    <x:t xml:space="preserve">　　　• 회원가입·로그인 API 연동</x:t>
  </x:si>
  <x:si>
    <x:t xml:space="preserve">클라우드 </x:t>
  </x:si>
  <x:si>
    <x:t xml:space="preserve">　　　• 인증 성공·실패 결과에 따른 화면 처리</x:t>
  </x:si>
  <x:si>
    <x:t xml:space="preserve">테스트</x:t>
  </x:si>
  <x:si>
    <x:t xml:space="preserve">　　　• 인증 토큰 저장 및 로그인 상태 관리</x:t>
  </x:si>
  <x:si>
    <x:t xml:space="preserve">배포운영</x:t>
  </x:si>
  <x:si>
    <x:t xml:space="preserve">　　FR-ACC-03 로그아웃 및 세션 폐기</x:t>
  </x:si>
  <x:si>
    <x:t xml:space="preserve">　　　• 로그아웃 버튼 및 메뉴 동작 구현</x:t>
  </x:si>
  <x:si>
    <x:t xml:space="preserve">　　　• 로그아웃 API 연동</x:t>
  </x:si>
  <x:si>
    <x:t xml:space="preserve">　　　• 로그아웃 성공 시 토큰 삭제 및 로그인 상태 초기화</x:t>
  </x:si>
  <x:si>
    <x:t xml:space="preserve">　　　• 폐기·만료 세션 발생 시 로그인 화면으로 이동 처리</x:t>
  </x:si>
  <x:si>
    <x:t xml:space="preserve">　　FR-PRF-01 온보딩 프로필</x:t>
  </x:si>
  <x:si>
    <x:t xml:space="preserve">　　　• 신체 정보 입력 화면 구현</x:t>
  </x:si>
  <x:si>
    <x:t xml:space="preserve">　　　• 체형·핏·스타일 선호 선택 UI 구현</x:t>
  </x:si>
  <x:si>
    <x:t xml:space="preserve">　　　• 항목별 입력 건너뛰기 기능 구현</x:t>
  </x:si>
  <x:si>
    <x:t xml:space="preserve">　　　• 입력값 단위·허용 범위 안내 및 검증</x:t>
  </x:si>
  <x:si>
    <x:t xml:space="preserve">　　　• 프로필 저장 API 연동 및 저장 결과 반영</x:t>
  </x:si>
  <x:si>
    <x:t xml:space="preserve">　　FR-PRF-02 실측과 프로필 관리</x:t>
  </x:si>
  <x:si>
    <x:t xml:space="preserve">　　　• 프로필 및 실측 정보 조회 화면 구현</x:t>
  </x:si>
  <x:si>
    <x:t xml:space="preserve">　　　• 프로필 폼 구현</x:t>
  </x:si>
  <x:si>
    <x:t xml:space="preserve">　　　• 프로필 필드 입력·수정 UI 구현</x:t>
  </x:si>
  <x:si>
    <x:t xml:space="preserve">　　　• 프로필 필드 삭제 UI 구현</x:t>
  </x:si>
  <x:si>
    <x:t xml:space="preserve">　　　• 저장·삭제 결과를 화면에 반영</x:t>
  </x:si>
  <x:si>
    <x:t xml:space="preserve">　찜 장바구니 주문과 결제 (신준우)</x:t>
  </x:si>
  <x:si>
    <x:t xml:space="preserve">　　FR-WISH-01 관심상품</x:t>
  </x:si>
  <x:si>
    <x:t xml:space="preserve">계정과 사용자 프로필</x:t>
  </x:si>
  <x:si>
    <x:t xml:space="preserve">　　　• 상품 목록·상세 찜 버튼 구현</x:t>
  </x:si>
  <x:si>
    <x:t xml:space="preserve">　　　• 찜 추가·해제 API 연동</x:t>
  </x:si>
  <x:si>
    <x:t xml:space="preserve">　　　• 찜 상태를 목록·상세 화면에 반영</x:t>
  </x:si>
  <x:si>
    <x:t xml:space="preserve">회원가입 및 로그인</x:t>
  </x:si>
  <x:si>
    <x:t xml:space="preserve">　　　• 사용자 찜 목록 화면 구현</x:t>
  </x:si>
  <x:si>
    <x:t xml:space="preserve">로그아웃 및 세션폐기</x:t>
  </x:si>
  <x:si>
    <x:t xml:space="preserve">　　　• 찜 목록 빈 상태 및 오류 화면 구현</x:t>
  </x:si>
  <x:si>
    <x:t xml:space="preserve">온보딩 프로핑</x:t>
  </x:si>
  <x:si>
    <x:t xml:space="preserve">　　FR-CART-01 장바구니 추가</x:t>
  </x:si>
  <x:si>
    <x:t xml:space="preserve">실측과 프로필 관리</x:t>
  </x:si>
  <x:si>
    <x:t xml:space="preserve">　　　• 상품 옵션 및 수량 선택 UI 구현</x:t>
  </x:si>
  <x:si>
    <x:t xml:space="preserve">　　　• 필수 옵션·수량 입력 검증 구현</x:t>
  </x:si>
  <x:si>
    <x:t xml:space="preserve">　　　• 장바구니 추가 API 연동</x:t>
  </x:si>
  <x:si>
    <x:t xml:space="preserve">찜 장바구니 주문과 결제</x:t>
  </x:si>
  <x:si>
    <x:t xml:space="preserve">　　　• 추가 성공·실패 안내 및 장바구니 상태 갱신</x:t>
  </x:si>
  <x:si>
    <x:t xml:space="preserve">　　FR-CART-02 장바구니 수정과 삭제</x:t>
  </x:si>
  <x:si>
    <x:t xml:space="preserve">　　　• 장바구니 목록 화면 구현</x:t>
  </x:si>
  <x:si>
    <x:t xml:space="preserve">관심상품</x:t>
  </x:si>
  <x:si>
    <x:t xml:space="preserve">　　　• 상품별 가격 및 전체 합계 표시</x:t>
  </x:si>
  <x:si>
    <x:t xml:space="preserve">장바구니 추가</x:t>
  </x:si>
  <x:si>
    <x:t xml:space="preserve">　　　• 옵션·수량 수정 UI 구현</x:t>
  </x:si>
  <x:si>
    <x:t xml:space="preserve">장바구니 수정과 삭제</x:t>
  </x:si>
  <x:si>
    <x:t xml:space="preserve">　　　• 장바구니 항목 삭제 UI 구현</x:t>
  </x:si>
  <x:si>
    <x:t xml:space="preserve">찜 월드컵</x:t>
  </x:si>
  <x:si>
    <x:t xml:space="preserve">　　　• 수정·삭제 결과를 목록과 합계에 반영</x:t>
  </x:si>
  <x:si>
    <x:t xml:space="preserve">주문 생성</x:t>
  </x:si>
  <x:si>
    <x:t xml:space="preserve">　　FR-CART-03 찜 월드컵</x:t>
  </x:si>
  <x:si>
    <x:t xml:space="preserve">구매 이력 설문</x:t>
  </x:si>
  <x:si>
    <x:t xml:space="preserve">　　　• 찜 상품 비교 후보 선택 화면 구현</x:t>
  </x:si>
  <x:si>
    <x:t xml:space="preserve">　　　• 쌍대 비교 진행 UI 구현</x:t>
  </x:si>
  <x:si>
    <x:t xml:space="preserve">　　　• 비교 결과 정렬 및 우승 상품 화면 구현</x:t>
  </x:si>
  <x:si>
    <x:t xml:space="preserve">상품 탐색과 상세 정보</x:t>
  </x:si>
  <x:si>
    <x:t xml:space="preserve">　　　• 우승 상품 상세 정보 링크 연결</x:t>
  </x:si>
  <x:si>
    <x:t xml:space="preserve">　　　• 우승 상품 이력 조회 화면 구현</x:t>
  </x:si>
  <x:si>
    <x:t xml:space="preserve">　　FR-ORD-01 주문 생성</x:t>
  </x:si>
  <x:si>
    <x:t xml:space="preserve">상품 목록 확인</x:t>
  </x:si>
  <x:si>
    <x:t xml:space="preserve">　　　• 주문 상품·옵션·수량 요약 화면 구현</x:t>
  </x:si>
  <x:si>
    <x:t xml:space="preserve">정렬과 목록 상태</x:t>
  </x:si>
  <x:si>
    <x:t xml:space="preserve">　　　• 구매자·배송 정보 확인 및 입력 폼 구현</x:t>
  </x:si>
  <x:si>
    <x:t xml:space="preserve">상품 상세</x:t>
  </x:si>
  <x:si>
    <x:t xml:space="preserve">　　　• 주문 생성 API 연동</x:t>
  </x:si>
  <x:si>
    <x:t xml:space="preserve">　　　• 주문 성공 요약 화면 구현</x:t>
  </x:si>
  <x:si>
    <x:t xml:space="preserve">　　　• 주문 생성 실패 상태 처리</x:t>
  </x:si>
  <x:si>
    <x:t xml:space="preserve">커뮤니티 게시글 댓글과 투표</x:t>
  </x:si>
  <x:si>
    <x:t xml:space="preserve">　　FR-ORD-02 구매 이력 설문 (지현)</x:t>
  </x:si>
  <x:si>
    <x:t xml:space="preserve">　　　• 주문 내역 목록 화면 구현</x:t>
  </x:si>
  <x:si>
    <x:t xml:space="preserve">　　　• 주문 상세 화면 구현</x:t>
  </x:si>
  <x:si>
    <x:t xml:space="preserve">코디 고민 게시글</x:t>
  </x:si>
  <x:si>
    <x:t xml:space="preserve">　　　• 구매 이력 설문 입력·수정 화면 구현</x:t>
  </x:si>
  <x:si>
    <x:t xml:space="preserve">댓글 관리</x:t>
  </x:si>
  <x:si>
    <x:t xml:space="preserve">　　　• 설문 제출 결과 표시</x:t>
  </x:si>
  <x:si>
    <x:t xml:space="preserve">투표와 참여 내역</x:t>
  </x:si>
  <x:si>
    <x:t xml:space="preserve">　상품 탐색과 상세 정보 (임수혁)</x:t>
  </x:si>
  <x:si>
    <x:t xml:space="preserve">커뮤니티 연동</x:t>
  </x:si>
  <x:si>
    <x:t xml:space="preserve">　　FR-CAT-01 상품 목록 확인</x:t>
  </x:si>
  <x:si>
    <x:t xml:space="preserve">커뮤니티 메인 페이지</x:t>
  </x:si>
  <x:si>
    <x:t xml:space="preserve">　　　• 카테고리 선택 UI 구현</x:t>
  </x:si>
  <x:si>
    <x:t xml:space="preserve">커뮤니티 투표 게시글 작성 및 수정</x:t>
  </x:si>
  <x:si>
    <x:t xml:space="preserve">　　　• 상품 목록 화면 구현</x:t>
  </x:si>
  <x:si>
    <x:t xml:space="preserve">　　　• 페이지 이동 및 다음 페이지 조회 구현</x:t>
  </x:si>
  <x:si>
    <x:t xml:space="preserve">　　　• 조회 실패 상태 표시</x:t>
  </x:si>
  <x:si>
    <x:t xml:space="preserve">자연어 검색과 개인화 코디 추천</x:t>
  </x:si>
  <x:si>
    <x:t xml:space="preserve">　　FR-CAT-02 정렬과 목록 상태</x:t>
  </x:si>
  <x:si>
    <x:t xml:space="preserve">　　　• 가격순 정렬 선택 UI 구현</x:t>
  </x:si>
  <x:si>
    <x:t xml:space="preserve">　　　• 선택된 정렬 조건 표시</x:t>
  </x:si>
  <x:si>
    <x:t xml:space="preserve">자연어 조건 해석</x:t>
  </x:si>
  <x:si>
    <x:t xml:space="preserve">　　　• 페이지 이동 시 정렬 조건 유지</x:t>
  </x:si>
  <x:si>
    <x:t xml:space="preserve">상품 후보와 사이즈 사전 필터</x:t>
  </x:si>
  <x:si>
    <x:t xml:space="preserve">　　　• 정렬 조건 변경 시 목록 갱신</x:t>
  </x:si>
  <x:si>
    <x:t xml:space="preserve">　　FR-CAT-03 상품 상세</x:t>
  </x:si>
  <x:si>
    <x:t xml:space="preserve">　　　• 상품 상세 페이지 레이아웃 구현</x:t>
  </x:si>
  <x:si>
    <x:t xml:space="preserve">AI 가상 피팅</x:t>
  </x:si>
  <x:si>
    <x:t xml:space="preserve">　　　• 상품 이미지·착용 이미지 영역 구현</x:t>
  </x:si>
  <x:si>
    <x:t xml:space="preserve">　　　• 가격·색상·소재 정보 표시 영역 구현</x:t>
  </x:si>
  <x:si>
    <x:t xml:space="preserve">　　　• 옵션 선택 및 옵션별 선택 가능 상태 표시 구현</x:t>
  </x:si>
  <x:si>
    <x:t xml:space="preserve">피팅 요청 생성</x:t>
  </x:si>
  <x:si>
    <x:t xml:space="preserve">　　　• 실측 사이즈표 표시 구현</x:t>
  </x:si>
  <x:si>
    <x:t xml:space="preserve">피팅 작업 요청 생성</x:t>
  </x:si>
  <x:si>
    <x:t xml:space="preserve">　　　• 찜·장바구니·가상 피팅 버튼 연결</x:t>
  </x:si>
  <x:si>
    <x:t xml:space="preserve">비동기 생성 상태</x:t>
  </x:si>
  <x:si>
    <x:t xml:space="preserve">　　　• 상세 조회 API 연동 및 미제공 정보 표시 처리</x:t>
  </x:si>
  <x:si>
    <x:t xml:space="preserve">결과 확인과 재생성</x:t>
  </x:si>
  <x:si>
    <x:t xml:space="preserve">　커뮤니티 게시글 댓글과 투표 (임수혁)</x:t>
  </x:si>
  <x:si>
    <x:t xml:space="preserve">　　FR-COM-01 코디 고민 게시글</x:t>
  </x:si>
  <x:si>
    <x:t xml:space="preserve">　　　• 게시글 작성·수정 폼 구현</x:t>
  </x:si>
  <x:si>
    <x:t xml:space="preserve">알림 기능</x:t>
  </x:si>
  <x:si>
    <x:t xml:space="preserve">　　　• 본문 입력 및 첨부 항목 검증 구현</x:t>
  </x:si>
  <x:si>
    <x:t xml:space="preserve">　　　• 이미지 첨부 및 업로드 UI 구현 -&gt; **(합의 필요)**</x:t>
  </x:si>
  <x:si>
    <x:t xml:space="preserve">　　　• 상품 참조 첨부 UI 구현 -&gt; **제품 URL을 가져올 건지, 찜(좋아요) 리스트에서 가져올 건지 합의 필요**</x:t>
  </x:si>
  <x:si>
    <x:t xml:space="preserve">가상 피팅 완료 알림</x:t>
  </x:si>
  <x:si>
    <x:t xml:space="preserve">　　　• 투표 설정 및 선택지 입력 UI 구현</x:t>
  </x:si>
  <x:si>
    <x:t xml:space="preserve">가상 피팅 실패 알림</x:t>
  </x:si>
  <x:si>
    <x:t xml:space="preserve">　　FR-COM-02 댓글 관리</x:t>
  </x:si>
  <x:si>
    <x:t xml:space="preserve">내 게시글 댓글 알림</x:t>
  </x:si>
  <x:si>
    <x:t xml:space="preserve">　　　• 게시글 댓글 목록 화면 구현</x:t>
  </x:si>
  <x:si>
    <x:t xml:space="preserve">내 게시글 투표 마감 알림</x:t>
  </x:si>
  <x:si>
    <x:t xml:space="preserve">　　　• 댓글 및 답글 작성 폼 구현</x:t>
  </x:si>
  <x:si>
    <x:t xml:space="preserve">알림 공통 기반</x:t>
  </x:si>
  <x:si>
    <x:t xml:space="preserve">　　　• 본인 댓글 및 답글 수정·삭제 UI 구현</x:t>
  </x:si>
  <x:si>
    <x:t xml:space="preserve">　　　• 댓글 삭제 상태 표시 구현</x:t>
  </x:si>
  <x:si>
    <x:t xml:space="preserve">　　　• 댓글 변경 후 목록 갱신</x:t>
  </x:si>
  <x:si>
    <x:t xml:space="preserve">　　　• **댓글의 답글 작성 구현 (구현됨)**</x:t>
  </x:si>
  <x:si>
    <x:t xml:space="preserve">　　　• **댓글의 답글 보기 및 접기 구현 (구현됨)**</x:t>
  </x:si>
  <x:si>
    <x:t xml:space="preserve">　　　• **댓글의 좋아요 구현 (구현됨)**</x:t>
  </x:si>
  <x:si>
    <x:t xml:space="preserve">　　FR-COM-03 투표와 참여 내역</x:t>
  </x:si>
  <x:si>
    <x:t xml:space="preserve">　　　• 투표 선택지 및 제출 UI 구현</x:t>
  </x:si>
  <x:si>
    <x:t xml:space="preserve">　　　• 투표 결과 집계 화면 구현</x:t>
  </x:si>
  <x:si>
    <x:t xml:space="preserve">　　　• 투표 완료 상태 표시</x:t>
  </x:si>
  <x:si>
    <x:t xml:space="preserve">　　　• 이미 참여했거나 투표할 수 없는 상태 표시</x:t>
  </x:si>
  <x:si>
    <x:t xml:space="preserve">　　FR-COM-04 커뮤니티 연동</x:t>
  </x:si>
  <x:si>
    <x:t xml:space="preserve">　　　• 추천 결과 공유 버튼 및 게시글 작성 화면 이동 구현</x:t>
  </x:si>
  <x:si>
    <x:t xml:space="preserve">　　　• 월드컵 결과 공유 버튼 및 게시글 작성 화면 이동 구현</x:t>
  </x:si>
  <x:si>
    <x:t xml:space="preserve">　　　• 가상 피팅 결과 공유 버튼 및 게시글 작성 화면 이동 구현</x:t>
  </x:si>
  <x:si>
    <x:t xml:space="preserve">　　　• 공유 대상 정보가 포함된 게시글 초안 및 미리보기 구현</x:t>
  </x:si>
  <x:si>
    <x:t xml:space="preserve">　　FR-COM-05 커뮤니티 메인 페이지</x:t>
  </x:si>
  <x:si>
    <x:t xml:space="preserve">　　　• 커뮤니티 게시글 목록 화면 구현</x:t>
  </x:si>
  <x:si>
    <x:t xml:space="preserve">　　　• 전체·투표·패션·코디 질문·일상 분류 탭 및 분류별 목록 갱신 구현</x:t>
  </x:si>
  <x:si>
    <x:t xml:space="preserve">　　　• 게시글별 제목·분류·작성자·작성 시간·썸네일 표시</x:t>
  </x:si>
  <x:si>
    <x:t xml:space="preserve">　　　• 게시글별 좋아요 수 및 댓글 수 표시</x:t>
  </x:si>
  <x:si>
    <x:t xml:space="preserve">　　　• 게시글 선택 시 게시글 상세 화면 이동 구현</x:t>
  </x:si>
  <x:si>
    <x:t xml:space="preserve">　　　• 글쓰기 버튼 및 게시글 작성 화면 이동 구현</x:t>
  </x:si>
  <x:si>
    <x:t xml:space="preserve">　　　• 목록 로딩·조회 실패·게시글 없음 상태 표시 구현</x:t>
  </x:si>
  <x:si>
    <x:t xml:space="preserve">　　　• 제목·내용 검색 UI 및 검색 결과 목록 구현</x:t>
  </x:si>
  <x:si>
    <x:t xml:space="preserve">　　FR-COM-06 커뮤니티 투표 게시글 작성 및 수정</x:t>
  </x:si>
  <x:si>
    <x:t xml:space="preserve">　　　• 투표 게시글 작성·수정 폼 및 기본·투표 글쓰기 모드 전환 UI 구현</x:t>
  </x:si>
  <x:si>
    <x:t xml:space="preserve">　　　• 게시글 제목·본문 및 투표 선택지 입력 UI 구현</x:t>
  </x:si>
  <x:si>
    <x:t xml:space="preserve">　　　• 투표 선택지 추가·삭제 구현</x:t>
  </x:si>
  <x:si>
    <x:t xml:space="preserve">　　　• 선택지 선택 시 상품 가져오기 UI 구현</x:t>
  </x:si>
  <x:si>
    <x:t xml:space="preserve">　　　• AI 추천·찜·사진 직접 올리기 중 첨부 방식 선택 UI 구현 **( 상품 이미지 직접 올리기는 합의 필요 )**</x:t>
  </x:si>
  <x:si>
    <x:t xml:space="preserve">　　　• AI 추천 상품을 대화별로 조회하고 선택하는 화면 구현</x:t>
  </x:si>
  <x:si>
    <x:t xml:space="preserve">　　　• 찜한 상품을 카테고리별로 조회하고 선택하는 화면 구현</x:t>
  </x:si>
  <x:si>
    <x:t xml:space="preserve">　　　• 상품 선택 상태·선택 개수 표시 및 선택 완료 후 작성 폼 반영 구현</x:t>
  </x:si>
  <x:si>
    <x:t xml:space="preserve">　　　• 첨부 상품의 이미지·상품명·가격·출처 및 선택지 구분(A·B·C·D) 표시</x:t>
  </x:si>
  <x:si>
    <x:t xml:space="preserve">　　　• 사진 선택·미리보기·업로드 상태 표시 구현 → **(합의 필요) 허용 파일 형식·용량 및 업로드 방식 정의 필요**</x:t>
  </x:si>
  <x:si>
    <x:t xml:space="preserve">　　　• 수정 시 기존 게시글 내용·투표 선택지·첨부 정보 표시 및 변경 사항 저장 구현</x:t>
  </x:si>
  <x:si>
    <x:t xml:space="preserve">　　　• 필수 입력 및 첨부 항목 검증, 작성·수정 완료 후 게시글 상세 화면 이동 구현</x:t>
  </x:si>
  <x:si>
    <x:t xml:space="preserve">　　　• 투표 참여 이후 수정 제한 안내 구현</x:t>
  </x:si>
  <x:si>
    <x:t xml:space="preserve">　　　• 투표는 6시간 고정 안내 및 투표 종료 버튼 구현</x:t>
  </x:si>
  <x:si>
    <x:t xml:space="preserve">　자연어 검색과 개인화 코디 추천 (강승원)</x:t>
  </x:si>
  <x:si>
    <x:t xml:space="preserve">　　FR-REC-01 자연어 조건 해석</x:t>
  </x:si>
  <x:si>
    <x:t xml:space="preserve">　　　• 자연어 추천 입력 화면 구현</x:t>
  </x:si>
  <x:si>
    <x:t xml:space="preserve">　　　• 추천 요청 API 연동</x:t>
  </x:si>
  <x:si>
    <x:t xml:space="preserve">　　　• 추천 요청 중·실패 상태 표시</x:t>
  </x:si>
  <x:si>
    <x:t xml:space="preserve">　　　• 추천 코디 및 상품 결과 화면 구현</x:t>
  </x:si>
  <x:si>
    <x:t xml:space="preserve">　　　• 추천 근거 표시 및 상품 상세 이동 연결</x:t>
  </x:si>
  <x:si>
    <x:t xml:space="preserve">　　　• 상품 옵션 선택 및 장바구니 담기 연결</x:t>
  </x:si>
  <x:si>
    <x:t xml:space="preserve">　　　• **상품 결과를 커뮤니티에 바로 공유 연결**</x:t>
  </x:si>
  <x:si>
    <x:t xml:space="preserve">　　　• **자연어 추천 결과 리스트(히스토리) 구현**</x:t>
  </x:si>
  <x:si>
    <x:t xml:space="preserve">　　FR-REC-02 상품 후보와 사이즈 사전 필터</x:t>
  </x:si>
  <x:si>
    <x:t xml:space="preserve">　　　• 사이즈 비교 결과 표시 영역 구현</x:t>
  </x:si>
  <x:si>
    <x:t xml:space="preserve">　　　• 필터 적용·미적용 항목 표시 **-&gt; 이거 데이터 받을 수 있나요? 받을 수 있으면 진행합니다.**</x:t>
  </x:si>
  <x:si>
    <x:t xml:space="preserve">　　　• 비교 불가 및 데이터 부족 상태 표시</x:t>
  </x:si>
  <x:si>
    <x:t xml:space="preserve">　　　• 사이즈 비교 근거를 추천 결과에 연결</x:t>
  </x:si>
  <x:si>
    <x:t xml:space="preserve">　AI 가상 피팅 (강승원)</x:t>
  </x:si>
  <x:si>
    <x:t xml:space="preserve">　　FR-VTO-01 피팅 요청 생성</x:t>
  </x:si>
  <x:si>
    <x:t xml:space="preserve">　　　• 가상 피팅 페이지 및 후보 상품 목록 화면 구현</x:t>
  </x:si>
  <x:si>
    <x:t xml:space="preserve">　　　• 장바구니 화면에서 선택 상품을 전달하는 피팅 진입 구현</x:t>
  </x:si>
  <x:si>
    <x:t xml:space="preserve">　　　• 상품 상세·추천 결과 화면의 피팅 진입 버튼 연결</x:t>
  </x:si>
  <x:si>
    <x:t xml:space="preserve">　　FR-VTO-02 피팅 작업 요청 생성</x:t>
  </x:si>
  <x:si>
    <x:t xml:space="preserve">　　　• 전신 사진 업로드 및 미리보기 화면 구현</x:t>
  </x:si>
  <x:si>
    <x:t xml:space="preserve">　　　• 지원 파일 형식·크기 검증 및 오류 표시</x:t>
  </x:si>
  <x:si>
    <x:t xml:space="preserve">　　　• 피팅 대상 상품 선택 UI 구현</x:t>
  </x:si>
  <x:si>
    <x:t xml:space="preserve">　　　• 피팅 작업 생성 API 연동 및 접수 결과 표시</x:t>
  </x:si>
  <x:si>
    <x:t xml:space="preserve">　　FR-VTO-03 비동기 생성 상태</x:t>
  </x:si>
  <x:si>
    <x:t xml:space="preserve">　　　• 작업 상태 조회 및 주기적 폴링 구현</x:t>
  </x:si>
  <x:si>
    <x:t xml:space="preserve">　　　• 대기·처리 중 진행 화면 구현</x:t>
  </x:si>
  <x:si>
    <x:t xml:space="preserve">　　　• 완료 상태에서 결과 화면으로 이동 처리</x:t>
  </x:si>
  <x:si>
    <x:t xml:space="preserve">　　　• 실패 상태·재시도 가능 여부 표시</x:t>
  </x:si>
  <x:si>
    <x:t xml:space="preserve">　　FR-VTO-04 결과 확인과 재생성</x:t>
  </x:si>
  <x:si>
    <x:t xml:space="preserve">　　　• 완료된 피팅 결과 이미지 화면 구현</x:t>
  </x:si>
  <x:si>
    <x:t xml:space="preserve">　　　• 결과와 상품 정보 동시 표시</x:t>
  </x:si>
  <x:si>
    <x:t xml:space="preserve">　　　• 피팅 진행 UI 구현</x:t>
  </x:si>
  <x:si>
    <x:t xml:space="preserve">　　　• 실패 원인 및 재시도 동작 화면 구현</x:t>
  </x:si>
  <x:si>
    <x:t xml:space="preserve">　　　• 삭제된 사진·상품에 연결된 결과 숨김 처리</x:t>
  </x:si>
  <x:si>
    <x:t xml:space="preserve">구현 시간·난이도 평가</x:t>
  </x:si>
  <x:si>
    <x:t xml:space="preserve">272개 세부 항목 · 신규 MVP 구현 기준 추정 · 종합 점수 = 시간과 난이도 중 높은 점수</x:t>
  </x:si>
  <x:si>
    <x:t xml:space="preserve">원문 순서·담당 표기 유지 | 상위 행은 세부 항목 종합 점수 합계이며 4점을 초과할 수 있음</x:t>
  </x:si>
  <x:si>
    <x:t xml:space="preserve">항목</x:t>
  </x:si>
  <x:si>
    <x:t xml:space="preserve">종합 점수</x:t>
  </x:si>
  <x:si>
    <x:t xml:space="preserve">시간 점수</x:t>
  </x:si>
  <x:si>
    <x:t xml:space="preserve">난이도</x:t>
  </x:si>
  <x:si>
    <x:t xml:space="preserve">예상 시간(시간)</x:t>
  </x:si>
  <x:si>
    <x:t xml:space="preserve">원문 점수</x:t>
  </x:si>
  <x:si>
    <x:t xml:space="preserve">평가 근거</x:t>
  </x:si>
  <x:si>
    <x:t xml:space="preserve">비고</x:t>
  </x:si>
  <x:si>
    <x:t xml:space="preserve">계정과 사용자 프로필 (신준우)</x:t>
  </x:si>
  <x:si>
    <x:t xml:space="preserve">FR-ACC-01 회원가입 및 로그인(준우, 지현)</x:t>
  </x:si>
  <x:si>
    <x:t xml:space="preserve">• 회원가입 입력 폼 구현</x:t>
  </x:si>
  <x:si>
    <x:t xml:space="preserve">2 초과~4</x:t>
  </x:si>
  <x:si>
    <x:t xml:space="preserve">입력·선택 상태와 화면 간 상호작용 구현 필요</x:t>
  </x:si>
  <x:si>
    <x:t xml:space="preserve">• 로그인 입력 폼 구현</x:t>
  </x:si>
  <x:si>
    <x:t xml:space="preserve">0.5~2</x:t>
  </x:si>
  <x:si>
    <x:t xml:space="preserve">• 필수 입력값 검증 및 오류 메시지 구현</x:t>
  </x:si>
  <x:si>
    <x:t xml:space="preserve">정상·비정상·누락 입력별 분기와 사용자 상태 처리 필요</x:t>
  </x:si>
  <x:si>
    <x:t xml:space="preserve">• 회원가입·로그인 API 연동</x:t>
  </x:si>
  <x:si>
    <x:t xml:space="preserve">요청·응답 매핑, 기본 데이터 처리 및 오류 흐름 확인 필요</x:t>
  </x:si>
  <x:si>
    <x:t xml:space="preserve">• 인증 성공·실패 결과에 따른 화면 처리</x:t>
  </x:si>
  <x:si>
    <x:t xml:space="preserve">• 인증 토큰 저장 및 로그인 상태 관리</x:t>
  </x:si>
  <x:si>
    <x:t xml:space="preserve">4 초과~8</x:t>
  </x:si>
  <x:si>
    <x:t xml:space="preserve">인증 상태·만료·폐기 경계와 실패 흐름의 일관성 검증 필요</x:t>
  </x:si>
  <x:si>
    <x:t xml:space="preserve">FR-ACC-03 로그아웃 및 세션 폐기</x:t>
  </x:si>
  <x:si>
    <x:t xml:space="preserve">• 로그아웃 버튼 및 메뉴 동작 구현</x:t>
  </x:si>
  <x:si>
    <x:t xml:space="preserve">화면 또는 데이터 구조 구현과 기본 동작 검증 필요</x:t>
  </x:si>
  <x:si>
    <x:t xml:space="preserve">• 로그아웃 API 연동</x:t>
  </x:si>
  <x:si>
    <x:t xml:space="preserve">• 로그아웃 성공 시 토큰 삭제 및 로그인 상태 초기화</x:t>
  </x:si>
  <x:si>
    <x:t xml:space="preserve">• 폐기·만료 세션 발생 시 로그인 화면으로 이동 처리</x:t>
  </x:si>
  <x:si>
    <x:t xml:space="preserve">FR-PRF-01 온보딩 프로필</x:t>
  </x:si>
  <x:si>
    <x:t xml:space="preserve">• 신체 정보 입력 화면 구현</x:t>
  </x:si>
  <x:si>
    <x:t xml:space="preserve">• 체형·핏·스타일 선호 선택 UI 구현</x:t>
  </x:si>
  <x:si>
    <x:t xml:space="preserve">• 항목별 입력 건너뛰기 기능 구현</x:t>
  </x:si>
  <x:si>
    <x:t xml:space="preserve">• 입력값 단위·허용 범위 안내 및 검증</x:t>
  </x:si>
  <x:si>
    <x:t xml:space="preserve">• 프로필 저장 API 연동 및 저장 결과 반영</x:t>
  </x:si>
  <x:si>
    <x:t xml:space="preserve">FR-PRF-02 실측과 프로필 관리</x:t>
  </x:si>
  <x:si>
    <x:t xml:space="preserve">• 프로필 및 실측 정보 조회 화면 구현</x:t>
  </x:si>
  <x:si>
    <x:t xml:space="preserve">• 프로필 폼 구현</x:t>
  </x:si>
  <x:si>
    <x:t xml:space="preserve">• 프로필 필드 입력·수정 UI 구현</x:t>
  </x:si>
  <x:si>
    <x:t xml:space="preserve">• 프로필 필드 삭제 UI 구현</x:t>
  </x:si>
  <x:si>
    <x:t xml:space="preserve">• 저장·삭제 결과를 화면에 반영</x:t>
  </x:si>
  <x:si>
    <x:t xml:space="preserve">여러 화면·목록·폼의 상태 동기화와 변경 후 복원 필요</x:t>
  </x:si>
  <x:si>
    <x:t xml:space="preserve">찜 장바구니 주문과 결제 (신준우)</x:t>
  </x:si>
  <x:si>
    <x:t xml:space="preserve">FR-WISH-01 관심상품</x:t>
  </x:si>
  <x:si>
    <x:t xml:space="preserve">• 상품 목록·상세 찜 버튼 구현</x:t>
  </x:si>
  <x:si>
    <x:t xml:space="preserve">• 찜 추가·해제 API 연동</x:t>
  </x:si>
  <x:si>
    <x:t xml:space="preserve">• 찜 상태를 목록·상세 화면에 반영</x:t>
  </x:si>
  <x:si>
    <x:t xml:space="preserve">• 사용자 찜 목록 화면 구현</x:t>
  </x:si>
  <x:si>
    <x:t xml:space="preserve">• 찜 목록 빈 상태 및 오류 화면 구현</x:t>
  </x:si>
  <x:si>
    <x:t xml:space="preserve">FR-CART-01 장바구니 추가</x:t>
  </x:si>
  <x:si>
    <x:t xml:space="preserve">• 상품 옵션 및 수량 선택 UI 구현</x:t>
  </x:si>
  <x:si>
    <x:t xml:space="preserve">• 필수 옵션·수량 입력 검증 구현</x:t>
  </x:si>
  <x:si>
    <x:t xml:space="preserve">• 장바구니 추가 API 연동</x:t>
  </x:si>
  <x:si>
    <x:t xml:space="preserve">• 추가 성공·실패 안내 및 장바구니 상태 갱신</x:t>
  </x:si>
  <x:si>
    <x:t xml:space="preserve">FR-CART-02 장바구니 수정과 삭제</x:t>
  </x:si>
  <x:si>
    <x:t xml:space="preserve">• 장바구니 목록 화면 구현</x:t>
  </x:si>
  <x:si>
    <x:t xml:space="preserve">• 상품별 가격 및 전체 합계 표시</x:t>
  </x:si>
  <x:si>
    <x:t xml:space="preserve">기존 데이터·라우팅을 활용하는 표시 또는 단순 연결 작업</x:t>
  </x:si>
  <x:si>
    <x:t xml:space="preserve">• 옵션·수량 수정 UI 구현</x:t>
  </x:si>
  <x:si>
    <x:t xml:space="preserve">• 장바구니 항목 삭제 UI 구현</x:t>
  </x:si>
  <x:si>
    <x:t xml:space="preserve">• 수정·삭제 결과를 목록과 합계에 반영</x:t>
  </x:si>
  <x:si>
    <x:t xml:space="preserve">FR-CART-03 찜 월드컵</x:t>
  </x:si>
  <x:si>
    <x:t xml:space="preserve">• 찜 상품 비교 후보 선택 화면 구현</x:t>
  </x:si>
  <x:si>
    <x:t xml:space="preserve">• 쌍대 비교 진행 UI 구현</x:t>
  </x:si>
  <x:si>
    <x:t xml:space="preserve">• 비교 결과 정렬 및 우승 상품 화면 구현</x:t>
  </x:si>
  <x:si>
    <x:t xml:space="preserve">• 우승 상품 상세 정보 링크 연결</x:t>
  </x:si>
  <x:si>
    <x:t xml:space="preserve">• 우승 상품 이력 조회 화면 구현</x:t>
  </x:si>
  <x:si>
    <x:t xml:space="preserve">FR-ORD-01 주문 생성</x:t>
  </x:si>
  <x:si>
    <x:t xml:space="preserve">• 주문 상품·옵션·수량 요약 화면 구현</x:t>
  </x:si>
  <x:si>
    <x:t xml:space="preserve">• 구매자·배송 정보 확인 및 입력 폼 구현</x:t>
  </x:si>
  <x:si>
    <x:t xml:space="preserve">• 주문 생성 API 연동</x:t>
  </x:si>
  <x:si>
    <x:t xml:space="preserve">• 주문 성공 요약 화면 구현</x:t>
  </x:si>
  <x:si>
    <x:t xml:space="preserve">• 주문 생성 실패 상태 처리</x:t>
  </x:si>
  <x:si>
    <x:t xml:space="preserve">FR-ORD-02 구매 이력 설문 (지현)</x:t>
  </x:si>
  <x:si>
    <x:t xml:space="preserve">• 주문 내역 목록 화면 구현</x:t>
  </x:si>
  <x:si>
    <x:t xml:space="preserve">• 주문 상세 화면 구현</x:t>
  </x:si>
  <x:si>
    <x:t xml:space="preserve">• 구매 이력 설문 입력·수정 화면 구현</x:t>
  </x:si>
  <x:si>
    <x:t xml:space="preserve">• 설문 제출 결과 표시</x:t>
  </x:si>
  <x:si>
    <x:t xml:space="preserve">상품 탐색과 상세 정보 (임수혁)</x:t>
  </x:si>
  <x:si>
    <x:t xml:space="preserve">FR-CAT-01 상품 목록 확인</x:t>
  </x:si>
  <x:si>
    <x:t xml:space="preserve">• 카테고리 선택 UI 구현</x:t>
  </x:si>
  <x:si>
    <x:t xml:space="preserve">• 상품 목록 화면 구현</x:t>
  </x:si>
  <x:si>
    <x:t xml:space="preserve">• 페이지 이동 및 다음 페이지 조회 구현</x:t>
  </x:si>
  <x:si>
    <x:t xml:space="preserve">조회·정렬·계층 또는 수정 규칙의 경계 조건 검증 필요</x:t>
  </x:si>
  <x:si>
    <x:t xml:space="preserve">• 조회 실패 상태 표시</x:t>
  </x:si>
  <x:si>
    <x:t xml:space="preserve">FR-CAT-02 정렬과 목록 상태</x:t>
  </x:si>
  <x:si>
    <x:t xml:space="preserve">• 가격순 정렬 선택 UI 구현</x:t>
  </x:si>
  <x:si>
    <x:t xml:space="preserve">• 선택된 정렬 조건 표시</x:t>
  </x:si>
  <x:si>
    <x:t xml:space="preserve">• 페이지 이동 시 정렬 조건 유지</x:t>
  </x:si>
  <x:si>
    <x:t xml:space="preserve">• 정렬 조건 변경 시 목록 갱신</x:t>
  </x:si>
  <x:si>
    <x:t xml:space="preserve">FR-CAT-03 상품 상세</x:t>
  </x:si>
  <x:si>
    <x:t xml:space="preserve">• 상품 상세 페이지 레이아웃 구현</x:t>
  </x:si>
  <x:si>
    <x:t xml:space="preserve">• 상품 이미지·착용 이미지 영역 구현</x:t>
  </x:si>
  <x:si>
    <x:t xml:space="preserve">• 가격·색상·소재 정보 표시 영역 구현</x:t>
  </x:si>
  <x:si>
    <x:t xml:space="preserve">• 옵션 선택 및 옵션별 선택 가능 상태 표시 구현</x:t>
  </x:si>
  <x:si>
    <x:t xml:space="preserve">• 실측 사이즈표 표시 구현</x:t>
  </x:si>
  <x:si>
    <x:t xml:space="preserve">• 찜·장바구니·가상 피팅 버튼 연결</x:t>
  </x:si>
  <x:si>
    <x:t xml:space="preserve">• 상세 조회 API 연동 및 미제공 정보 표시 처리</x:t>
  </x:si>
  <x:si>
    <x:t xml:space="preserve">커뮤니티 게시글 댓글과 투표 (임수혁)</x:t>
  </x:si>
  <x:si>
    <x:t xml:space="preserve">FR-COM-01 코디 고민 게시글</x:t>
  </x:si>
  <x:si>
    <x:t xml:space="preserve">• 게시글 작성·수정 폼 구현</x:t>
  </x:si>
  <x:si>
    <x:t xml:space="preserve">• 본문 입력 및 첨부 항목 검증 구현</x:t>
  </x:si>
  <x:si>
    <x:t xml:space="preserve">• 이미지 첨부 및 업로드 UI 구현 -&gt; (합의 필요)</x:t>
  </x:si>
  <x:si>
    <x:t xml:space="preserve">파일 검증·전송·저장 또는 미리보기와 실패 상태 처리 필요</x:t>
  </x:si>
  <x:si>
    <x:t xml:space="preserve">요구사항/API 확정 전 잠정 평가 / 관련 UI·업로드·알림 공통 구현 재사용 시 공수 감소</x:t>
  </x:si>
  <x:si>
    <x:t xml:space="preserve">• 상품 참조 첨부 UI 구현 -&gt; 제품 URL을 가져올 건지, 찜(좋아요) 리스트에서 가져올 건지 합의 필요</x:t>
  </x:si>
  <x:si>
    <x:t xml:space="preserve">다른 기능의 데이터 계약과 선택·전달·복원 흐름 연동 필요</x:t>
  </x:si>
  <x:si>
    <x:t xml:space="preserve">요구사항/API 확정 전 잠정 평가</x:t>
  </x:si>
  <x:si>
    <x:t xml:space="preserve">• 투표 설정 및 선택지 입력 UI 구현</x:t>
  </x:si>
  <x:si>
    <x:t xml:space="preserve">관련 UI·업로드·알림 공통 구현 재사용 시 공수 감소</x:t>
  </x:si>
  <x:si>
    <x:t xml:space="preserve">FR-COM-02 댓글 관리</x:t>
  </x:si>
  <x:si>
    <x:t xml:space="preserve">• 게시글 댓글 목록 화면 구현</x:t>
  </x:si>
  <x:si>
    <x:t xml:space="preserve">• 댓글 및 답글 작성 폼 구현</x:t>
  </x:si>
  <x:si>
    <x:t xml:space="preserve">• 본인 댓글 및 답글 수정·삭제 UI 구현</x:t>
  </x:si>
  <x:si>
    <x:t xml:space="preserve">• 댓글 삭제 상태 표시 구현</x:t>
  </x:si>
  <x:si>
    <x:t xml:space="preserve">• 댓글 변경 후 목록 갱신</x:t>
  </x:si>
  <x:si>
    <x:t xml:space="preserve">• 댓글의 답글 작성 구현 (구현됨)</x:t>
  </x:si>
  <x:si>
    <x:t xml:space="preserve">원문: 구현됨. 점수는 신규 구현 기준이며 잔여 공수 아님 / 관련 UI·업로드·알림 공통 구현 재사용 시 공수 감소</x:t>
  </x:si>
  <x:si>
    <x:t xml:space="preserve">• 댓글의 답글 보기 및 접기 구현 (구현됨)</x:t>
  </x:si>
  <x:si>
    <x:t xml:space="preserve">원문: 구현됨. 점수는 신규 구현 기준이며 잔여 공수 아님</x:t>
  </x:si>
  <x:si>
    <x:t xml:space="preserve">• 댓글의 좋아요 구현 (구현됨)</x:t>
  </x:si>
  <x:si>
    <x:t xml:space="preserve">FR-COM-03 투표와 참여 내역</x:t>
  </x:si>
  <x:si>
    <x:t xml:space="preserve">• 투표 선택지 및 제출 UI 구현</x:t>
  </x:si>
  <x:si>
    <x:t xml:space="preserve">• 투표 결과 집계 화면 구현</x:t>
  </x:si>
  <x:si>
    <x:t xml:space="preserve">• 투표 완료 상태 표시</x:t>
  </x:si>
  <x:si>
    <x:t xml:space="preserve">• 이미 참여했거나 투표할 수 없는 상태 표시</x:t>
  </x:si>
  <x:si>
    <x:t xml:space="preserve">FR-COM-04 커뮤니티 연동</x:t>
  </x:si>
  <x:si>
    <x:t xml:space="preserve">• 추천 결과 공유 버튼 및 게시글 작성 화면 이동 구현</x:t>
  </x:si>
  <x:si>
    <x:t xml:space="preserve">• 월드컵 결과 공유 버튼 및 게시글 작성 화면 이동 구현</x:t>
  </x:si>
  <x:si>
    <x:t xml:space="preserve">• 가상 피팅 결과 공유 버튼 및 게시글 작성 화면 이동 구현</x:t>
  </x:si>
  <x:si>
    <x:t xml:space="preserve">• 공유 대상 정보가 포함된 게시글 초안 및 미리보기 구현</x:t>
  </x:si>
  <x:si>
    <x:t xml:space="preserve">FR-COM-05 커뮤니티 메인 페이지</x:t>
  </x:si>
  <x:si>
    <x:t xml:space="preserve">• 커뮤니티 게시글 목록 화면 구현</x:t>
  </x:si>
  <x:si>
    <x:t xml:space="preserve">• 전체·투표·패션·코디 질문·일상 분류 탭 및 분류별 목록 갱신 구현</x:t>
  </x:si>
  <x:si>
    <x:t xml:space="preserve">• 게시글별 제목·분류·작성자·작성 시간·썸네일 표시</x:t>
  </x:si>
  <x:si>
    <x:t xml:space="preserve">• 게시글별 좋아요 수 및 댓글 수 표시</x:t>
  </x:si>
  <x:si>
    <x:t xml:space="preserve">• 게시글 선택 시 게시글 상세 화면 이동 구현</x:t>
  </x:si>
  <x:si>
    <x:t xml:space="preserve">• 글쓰기 버튼 및 게시글 작성 화면 이동 구현</x:t>
  </x:si>
  <x:si>
    <x:t xml:space="preserve">• 목록 로딩·조회 실패·게시글 없음 상태 표시 구현</x:t>
  </x:si>
  <x:si>
    <x:t xml:space="preserve">• 제목·내용 검색 UI 및 검색 결과 목록 구현</x:t>
  </x:si>
  <x:si>
    <x:t xml:space="preserve">FR-COM-06 커뮤니티 투표 게시글 작성 및 수정</x:t>
  </x:si>
  <x:si>
    <x:t xml:space="preserve">• 투표 게시글 작성·수정 폼 및 기본·투표 글쓰기 모드 전환 UI 구현</x:t>
  </x:si>
  <x:si>
    <x:t xml:space="preserve">• 게시글 제목·본문 및 투표 선택지 입력 UI 구현</x:t>
  </x:si>
  <x:si>
    <x:t xml:space="preserve">• 투표 선택지 추가·삭제 구현</x:t>
  </x:si>
  <x:si>
    <x:t xml:space="preserve">• 선택지 선택 시 상품 가져오기 UI 구현</x:t>
  </x:si>
  <x:si>
    <x:t xml:space="preserve">• AI 추천·찜·사진 직접 올리기 중 첨부 방식 선택 UI 구현 ( 상품 이미지 직접 올리기는 합의 필요 )</x:t>
  </x:si>
  <x:si>
    <x:t xml:space="preserve">• AI 추천 상품을 대화별로 조회하고 선택하는 화면 구현</x:t>
  </x:si>
  <x:si>
    <x:t xml:space="preserve">• 찜한 상품을 카테고리별로 조회하고 선택하는 화면 구현</x:t>
  </x:si>
  <x:si>
    <x:t xml:space="preserve">• 상품 선택 상태·선택 개수 표시 및 선택 완료 후 작성 폼 반영 구현</x:t>
  </x:si>
  <x:si>
    <x:t xml:space="preserve">• 첨부 상품의 이미지·상품명·가격·출처 및 선택지 구분(A·B·C·D) 표시</x:t>
  </x:si>
  <x:si>
    <x:t xml:space="preserve">• 사진 선택·미리보기·업로드 상태 표시 구현 → (합의 필요) 허용 파일 형식·용량 및 업로드 방식 정의 필요</x:t>
  </x:si>
  <x:si>
    <x:t xml:space="preserve">• 수정 시 기존 게시글 내용·투표 선택지·첨부 정보 표시 및 변경 사항 저장 구현</x:t>
  </x:si>
  <x:si>
    <x:t xml:space="preserve">• 필수 입력 및 첨부 항목 검증, 작성·수정 완료 후 게시글 상세 화면 이동 구현</x:t>
  </x:si>
  <x:si>
    <x:t xml:space="preserve">• 투표 참여 이후 수정 제한 안내 구현</x:t>
  </x:si>
  <x:si>
    <x:t xml:space="preserve">• 투표는 6시간 고정 안내 및 투표 종료 버튼 구현</x:t>
  </x:si>
  <x:si>
    <x:t xml:space="preserve">자연어 검색과 개인화 코디 추천 (강승원)</x:t>
  </x:si>
  <x:si>
    <x:t xml:space="preserve">FR-REC-01 자연어 조건 해석</x:t>
  </x:si>
  <x:si>
    <x:t xml:space="preserve">• 자연어 추천 입력 화면 구현</x:t>
  </x:si>
  <x:si>
    <x:t xml:space="preserve">• 추천 요청 API 연동</x:t>
  </x:si>
  <x:si>
    <x:t xml:space="preserve">• 추천 요청 중·실패 상태 표시</x:t>
  </x:si>
  <x:si>
    <x:t xml:space="preserve">• 추천 코디 및 상품 결과 화면 구현</x:t>
  </x:si>
  <x:si>
    <x:t xml:space="preserve">• 추천 근거 표시 및 상품 상세 이동 연결</x:t>
  </x:si>
  <x:si>
    <x:t xml:space="preserve">• 상품 옵션 선택 및 장바구니 담기 연결</x:t>
  </x:si>
  <x:si>
    <x:t xml:space="preserve">• 상품 결과를 커뮤니티에 바로 공유 연결</x:t>
  </x:si>
  <x:si>
    <x:t xml:space="preserve">• 자연어 추천 결과 리스트(히스토리) 구현</x:t>
  </x:si>
  <x:si>
    <x:t xml:space="preserve">FR-REC-02 상품 후보와 사이즈 사전 필터</x:t>
  </x:si>
  <x:si>
    <x:t xml:space="preserve">• 사이즈 비교 결과 표시 영역 구현</x:t>
  </x:si>
  <x:si>
    <x:t xml:space="preserve">• 필터 적용·미적용 항목 표시 -&gt; 이거 데이터 받을 수 있나요? 받을 수 있으면 진행합니다.</x:t>
  </x:si>
  <x:si>
    <x:t xml:space="preserve">• 비교 불가 및 데이터 부족 상태 표시</x:t>
  </x:si>
  <x:si>
    <x:t xml:space="preserve">• 사이즈 비교 근거를 추천 결과에 연결</x:t>
  </x:si>
  <x:si>
    <x:t xml:space="preserve">AI 가상 피팅 (강승원)</x:t>
  </x:si>
  <x:si>
    <x:t xml:space="preserve">FR-VTO-01 피팅 요청 생성</x:t>
  </x:si>
  <x:si>
    <x:t xml:space="preserve">• 가상 피팅 페이지 및 후보 상품 목록 화면 구현</x:t>
  </x:si>
  <x:si>
    <x:t xml:space="preserve">• 장바구니 화면에서 선택 상품을 전달하는 피팅 진입 구현</x:t>
  </x:si>
  <x:si>
    <x:t xml:space="preserve">• 상품 상세·추천 결과 화면의 피팅 진입 버튼 연결</x:t>
  </x:si>
  <x:si>
    <x:t xml:space="preserve">FR-VTO-02 피팅 작업 요청 생성</x:t>
  </x:si>
  <x:si>
    <x:t xml:space="preserve">• 전신 사진 업로드 및 미리보기 화면 구현</x:t>
  </x:si>
  <x:si>
    <x:t xml:space="preserve">• 지원 파일 형식·크기 검증 및 오류 표시</x:t>
  </x:si>
  <x:si>
    <x:t xml:space="preserve">• 피팅 대상 상품 선택 UI 구현</x:t>
  </x:si>
  <x:si>
    <x:t xml:space="preserve">• 피팅 작업 생성 API 연동 및 접수 결과 표시</x:t>
  </x:si>
  <x:si>
    <x:t xml:space="preserve">FR-VTO-03 비동기 생성 상태</x:t>
  </x:si>
  <x:si>
    <x:t xml:space="preserve">• 작업 상태 조회 및 주기적 폴링 구현</x:t>
  </x:si>
  <x:si>
    <x:t xml:space="preserve">주기 제어·종료 조건·화면 이탈·오류 시 중복 요청 방지 필요</x:t>
  </x:si>
  <x:si>
    <x:t xml:space="preserve">• 대기·처리 중 진행 화면 구현</x:t>
  </x:si>
  <x:si>
    <x:t xml:space="preserve">• 완료 상태에서 결과 화면으로 이동 처리</x:t>
  </x:si>
  <x:si>
    <x:t xml:space="preserve">• 실패 상태·재시도 가능 여부 표시</x:t>
  </x:si>
  <x:si>
    <x:t xml:space="preserve">FR-VTO-04 결과 확인과 재생성</x:t>
  </x:si>
  <x:si>
    <x:t xml:space="preserve">• 완료된 피팅 결과 이미지 화면 구현</x:t>
  </x:si>
  <x:si>
    <x:t xml:space="preserve">• 결과와 상품 정보 동시 표시</x:t>
  </x:si>
  <x:si>
    <x:t xml:space="preserve">• 피팅 진행 UI 구현</x:t>
  </x:si>
  <x:si>
    <x:t xml:space="preserve">• 실패 원인 및 재시도 동작 화면 구현</x:t>
  </x:si>
  <x:si>
    <x:t xml:space="preserve">• 삭제된 사진·상품에 연결된 결과 숨김 처리</x:t>
  </x:si>
  <x:si>
    <x:t xml:space="preserve">알림 기능 (강승원)</x:t>
  </x:si>
  <x:si>
    <x:t xml:space="preserve">FR-NOT-01 가상 피팅 완료 알림 (준우,지현)</x:t>
  </x:si>
  <x:si>
    <x:t xml:space="preserve">• 공통 알림 목록 UI 구현</x:t>
  </x:si>
  <x:si>
    <x:t xml:space="preserve">• 알림 읽음·안 읽음 상태 표시 및 처리</x:t>
  </x:si>
  <x:si>
    <x:t xml:space="preserve">• 완료 알림 선택 시 피팅 결과 화면으로 이동</x:t>
  </x:si>
  <x:si>
    <x:t xml:space="preserve">• 피팅 완료 이벤트 수신 및 알림 저장 (가상 피팅 서비스와 이벤트 형식 협의)</x:t>
  </x:si>
  <x:si>
    <x:t xml:space="preserve">발행·수신 계약 및 중복·실패 처리와 서비스 간 연동 확인 필요</x:t>
  </x:si>
  <x:si>
    <x:t xml:space="preserve">요구사항/API 확정 전 잠정 평가 / 원문 FE 배치이나 서버 구현 성격; 담당 재확인</x:t>
  </x:si>
  <x:si>
    <x:t xml:space="preserve">• 알림에 피팅 작업 ID 연결</x:t>
  </x:si>
  <x:si>
    <x:t xml:space="preserve">원문 FE 배치이나 서버 구현 성격; 담당 재확인</x:t>
  </x:si>
  <x:si>
    <x:t xml:space="preserve">FR-NOT-02 가상 피팅 실패 알림</x:t>
  </x:si>
  <x:si>
    <x:t xml:space="preserve">• 피팅 실패 알림 표시</x:t>
  </x:si>
  <x:si>
    <x:t xml:space="preserve">• 알림 선택 시 해당 피팅 재시도 화면으로 이동</x:t>
  </x:si>
  <x:si>
    <x:t xml:space="preserve">• 재시도 불가 상태 표시</x:t>
  </x:si>
  <x:si>
    <x:t xml:space="preserve">• 피팅 실패 이벤트 수신 및 알림 저장</x:t>
  </x:si>
  <x:si>
    <x:t xml:space="preserve">• 이벤트에 포함된 실패 원인·재시도 가능 여부를 알림 내용에 반영</x:t>
  </x:si>
  <x:si>
    <x:t xml:space="preserve">FR-NOT-03 내 게시글 댓글 알림</x:t>
  </x:si>
  <x:si>
    <x:t xml:space="preserve">• 댓글 알림 표시</x:t>
  </x:si>
  <x:si>
    <x:t xml:space="preserve">• 알림 선택 시 해당 게시글 상세로 이동</x:t>
  </x:si>
  <x:si>
    <x:t xml:space="preserve">• 게시글을 볼 수 없는 경우 안내 표시</x:t>
  </x:si>
  <x:si>
    <x:t xml:space="preserve">• 댓글 작성 시 게시글 작성자에게 알림 생성 (본인 게시글에 본인 댓글은 제외)</x:t>
  </x:si>
  <x:si>
    <x:t xml:space="preserve">• 알림에 게시글 ID 연결</x:t>
  </x:si>
  <x:si>
    <x:t xml:space="preserve">FR-NOT-04 내 게시글 투표 마감 알림</x:t>
  </x:si>
  <x:si>
    <x:t xml:space="preserve">• 투표 마감 알림 표시</x:t>
  </x:si>
  <x:si>
    <x:t xml:space="preserve">• 게시글 내 최종 투표 결과 표시</x:t>
  </x:si>
  <x:si>
    <x:t xml:space="preserve">• 마감 시각이 지난 투표 게시글 감지 스케줄러 구현</x:t>
  </x:si>
  <x:si>
    <x:t xml:space="preserve">시간 경계·중복 실행·상태 변경과 알림의 일관성 검증 필요</x:t>
  </x:si>
  <x:si>
    <x:t xml:space="preserve">원문 FE 배치이나 서버 구현 성격; 담당 재확인 / 투표 마감/알림 작업 간 중복 범위 확인</x:t>
  </x:si>
  <x:si>
    <x:t xml:space="preserve">• 투표 마감 상태 갱신 및 게시글 작성자에게 알림 생성</x:t>
  </x:si>
  <x:si>
    <x:t xml:space="preserve">계정과 사용자 프로필 (준우, 지현)</x:t>
  </x:si>
  <x:si>
    <x:t xml:space="preserve">• 사용자 계정 엔티티 및 저장 구조 구현</x:t>
  </x:si>
  <x:si>
    <x:t xml:space="preserve">• 회원가입 API 구현 (이메일 형식·비밀번호 규칙 검증, 이메일 중복 검사)</x:t>
  </x:si>
  <x:si>
    <x:t xml:space="preserve">반복·동시 요청과 중복 데이터 방지 조건 검증 필요</x:t>
  </x:si>
  <x:si>
    <x:t xml:space="preserve">• 비밀번호 해시(BCrypt) 저장 구현</x:t>
  </x:si>
  <x:si>
    <x:t xml:space="preserve">• 로그인 API 구현 (계정 상태 확인, 실패 시 이메일·비밀번호 구분 없는 통합 오류 메시지)</x:t>
  </x:si>
  <x:si>
    <x:t xml:space="preserve">• Access Token / Refresh Token 발급 구현 (Refresh Token은 Redis에 저장)</x:t>
  </x:si>
  <x:si>
    <x:t xml:space="preserve">• 토큰 재발급 API 구현</x:t>
  </x:si>
  <x:si>
    <x:t xml:space="preserve">• Gateway JWT 검증 필터 연동 (검증 로직은 Gateway, 사용자 식별값 헤더 전달 방식 합의)</x:t>
  </x:si>
  <x:si>
    <x:t xml:space="preserve">• 로그아웃 API 구현 (Redis의 Refresh Token 삭제)</x:t>
  </x:si>
  <x:si>
    <x:t xml:space="preserve">• Access Token 블랙리스트 등록 구현 (Redis, TTL = 토큰 남은 만료 시간)</x:t>
  </x:si>
  <x:si>
    <x:t xml:space="preserve">• Gateway에서 블랙리스트 토큰 거부 연동</x:t>
  </x:si>
  <x:si>
    <x:t xml:space="preserve">• 이미 로그아웃된 세션의 재요청도 성공으로 응답 (멱등 처리)</x:t>
  </x:si>
  <x:si>
    <x:t xml:space="preserve">• 스타일·체형 태그 목록 정의 (코드 상수) 및 조회 API 구현</x:t>
  </x:si>
  <x:si>
    <x:t xml:space="preserve">• 회원가입 시 빈 신체정보 행 생성 (건너뛰기 대응)</x:t>
  </x:si>
  <x:si>
    <x:t xml:space="preserve">• 온보딩 프로필 저장 API 구현 (단위·허용 범위 검증)</x:t>
  </x:si>
  <x:si>
    <x:t xml:space="preserve">• 추천 서비스용 내부 프로필 조회 API 구현 (미입력 필드 제외하여 반환)</x:t>
  </x:si>
  <x:si>
    <x:t xml:space="preserve">• 본인 프로필 조회 API 구현 (`/users/me` 형태, 토큰의 사용자 ID 사용)</x:t>
  </x:si>
  <x:si>
    <x:t xml:space="preserve">• 프로필 부분 수정 API 구현 (PATCH, 미전달 필드와 null 필드 구분 처리)</x:t>
  </x:si>
  <x:si>
    <x:t xml:space="preserve">• 프로필 필드 삭제 구현 (해당 필드 NULL 처리)</x:t>
  </x:si>
  <x:si>
    <x:t xml:space="preserve">• 수치 항목 단위·허용 범위 검증</x:t>
  </x:si>
  <x:si>
    <x:t xml:space="preserve">상품 탐색과 상세 정보 (준우, 주희)</x:t>
  </x:si>
  <x:si>
    <x:t xml:space="preserve">• 카테고리 조건에 따른 동적 쿼리 조회 로직 구현</x:t>
  </x:si>
  <x:si>
    <x:t xml:space="preserve">• 프론트엔드 렌더링 최적화용 상품 요약 DTO 설계 및 데이터 가공</x:t>
  </x:si>
  <x:si>
    <x:t xml:space="preserve">• 앱 환경(무한 스크롤 등)을 고려한 페이징(Pagination) 처리 구현</x:t>
  </x:si>
  <x:si>
    <x:t xml:space="preserve">• 상품 조회 시 쿼리 성능을 높이기 위해 연관 데이터(브랜드 등)를 한 번에 가져오는 최적화 적용</x:t>
  </x:si>
  <x:si>
    <x:t xml:space="preserve">• 검색 결과가 0개일 경우 에러 대신 안전하게 '빈 목록' 응답 처리</x:t>
  </x:si>
  <x:si>
    <x:t xml:space="preserve">• 요청 파라미터(낮은 가격순, 최신순 등) 기반 동적 정렬 쿼리 구현</x:t>
  </x:si>
  <x:si>
    <x:t xml:space="preserve">• 비정상적인 정렬 파라미터 요청 시 기본값(Default) 폴백 및 검증 로직 적용</x:t>
  </x:si>
  <x:si>
    <x:t xml:space="preserve">• 페이징 시 데이터 중복/누락 방지를 위한 보조 정렬 조건(상품 PK) 추가</x:t>
  </x:si>
  <x:si>
    <x:t xml:space="preserve">• 클라이언트 상태 유지를 위한 응답 메타데이터(Page Info, 정렬 기준) 포함</x:t>
  </x:si>
  <x:si>
    <x:t xml:space="preserve">• 식별자(ID) 기반 상품 상세 정보(메타데이터, 판매 상태 등) 단건 조회 API 구현</x:t>
  </x:si>
  <x:si>
    <x:t xml:space="preserve">• 상품 옵션(색상/사이즈) 및 옵션별 실측 데이터를 하나의 응답 DTO로 계층화하여 조립</x:t>
  </x:si>
  <x:si>
    <x:t xml:space="preserve">• 카테고리별 특성에 맞춘 무효 속성 명시적 Null 처리 및 임의 값 할당 방지</x:t>
  </x:si>
  <x:si>
    <x:t xml:space="preserve">자연어 검색과 개인화 코디 추천(수혁, 경민)</x:t>
  </x:si>
  <x:si>
    <x:t xml:space="preserve">• 자연어 입력 분석용 LLM 연동</x:t>
  </x:si>
  <x:si>
    <x:t xml:space="preserve">응답 구조·누락 조건·실패 복구와 입력 사례별 검증 필요</x:t>
  </x:si>
  <x:si>
    <x:t xml:space="preserve">• 상황·분위기·색상·스타일·계절·예산 조건 파싱</x:t>
  </x:si>
  <x:si>
    <x:t xml:space="preserve">• Fashion-CLIP 및 Qdrant 기반 1차 후보 검색 파이프라인 구현</x:t>
  </x:si>
  <x:si>
    <x:t xml:space="preserve">8 초과 (보통 1~3일+)</x:t>
  </x:si>
  <x:si>
    <x:t xml:space="preserve">임베딩 생성·적재·필터 검색을 연결하고 검색 품질 검증 필요</x:t>
  </x:si>
  <x:si>
    <x:t xml:space="preserve">• 예산 하드컷 및 Vision LLM 기반 코디 조화도 검수 구현</x:t>
  </x:si>
  <x:si>
    <x:t xml:space="preserve">예산 제약과 이미지 기반 평가를 결합; 품질 기준·실패 처리 필요</x:t>
  </x:si>
  <x:si>
    <x:t xml:space="preserve">• 추천 결과 및 대화 내용 저장 로직 구현</x:t>
  </x:si>
  <x:si>
    <x:t xml:space="preserve">• 무신사 기준 상·하의·신발·모자 실측 스펙 정규화 및 조회 구현</x:t>
  </x:si>
  <x:si>
    <x:t xml:space="preserve">카테고리별 단위·명칭·결측값을 통일하는 데이터 작업량이 큼</x:t>
  </x:si>
  <x:si>
    <x:t xml:space="preserve">• 유저 선호 실측/구매이력/유사체형 Fallback 체인 라우팅 구현</x:t>
  </x:si>
  <x:si>
    <x:t xml:space="preserve">여러 데이터 출처의 우선순위·부족 조건·폴백 경로 설계 필요</x:t>
  </x:si>
  <x:si>
    <x:t xml:space="preserve">• 수학적 오차율 및 적합도 점수 산출 엔진 구현</x:t>
  </x:si>
  <x:si>
    <x:t xml:space="preserve">적합도 정의·가중치 설계와 실제 사례 기반 검증 필요</x:t>
  </x:si>
  <x:si>
    <x:t xml:space="preserve">• 데이터 부족 시 사이즈 추천을 건너뛰거나 예외 처리하는 방어 로직 구현</x:t>
  </x:si>
  <x:si>
    <x:t xml:space="preserve">찜 장바구니 주문과 결제 (승원, 주희)</x:t>
  </x:si>
  <x:si>
    <x:t xml:space="preserve">• 사용자별 찜 목록(일반 상품 및 AI 코디) 조회 API 구현</x:t>
  </x:si>
  <x:si>
    <x:t xml:space="preserve">• 찜 추가 및 해제 API 구현</x:t>
  </x:si>
  <x:si>
    <x:t xml:space="preserve">• 동일 상품 중복 저장 방지 및 반복 요청 방어 로직 구현</x:t>
  </x:si>
  <x:si>
    <x:t xml:space="preserve">• 상품 옵션 유효성 조회 및 검증 구현</x:t>
  </x:si>
  <x:si>
    <x:t xml:space="preserve">• 수량 허용 범위 검증 구현</x:t>
  </x:si>
  <x:si>
    <x:t xml:space="preserve">• 장바구니 추가 API 구현</x:t>
  </x:si>
  <x:si>
    <x:t xml:space="preserve">• 동일 상품/옵션을 다시 담을 경우 별도 추가가 아닌 수량만 갱신하는 로직 구현</x:t>
  </x:si>
  <x:si>
    <x:t xml:space="preserve">• 장바구니 항목 조회 API 구현</x:t>
  </x:si>
  <x:si>
    <x:t xml:space="preserve">• 항목 옵션·수량 수정 API 구현</x:t>
  </x:si>
  <x:si>
    <x:t xml:space="preserve">• 항목 삭제 API 구현</x:t>
  </x:si>
  <x:si>
    <x:t xml:space="preserve">• 수정 후 상품 금액 및 합계 계산</x:t>
  </x:si>
  <x:si>
    <x:t xml:space="preserve">• 사용자별 장바구니 소유권 검사 구현</x:t>
  </x:si>
  <x:si>
    <x:t xml:space="preserve">사용자 식별과 대상 소유권·접근 조건 검증 필요</x:t>
  </x:si>
  <x:si>
    <x:t xml:space="preserve">• 내 찜 목록을 기반으로 한 개인화 월드컵 대진표 후보 반환 API 구현</x:t>
  </x:si>
  <x:si>
    <x:t xml:space="preserve">• 진행 단계별 비교 결과 및 최종 우승 상품 저장 로직 구현</x:t>
  </x:si>
  <x:si>
    <x:t xml:space="preserve">• 기존 월드컵 우승 기록 보존 및 최신 결과 갱신 처리</x:t>
  </x:si>
  <x:si>
    <x:t xml:space="preserve">• 장바구니 항목 유효성 검증 및 구매자/배송지 정보 저장 처리</x:t>
  </x:si>
  <x:si>
    <x:t xml:space="preserve">• 가격 변동에 대비하여 주문 시점의 상품 정보(옵션, 수량, 가격)를 그대로 박제하는 스냅샷 저장 로직 구현</x:t>
  </x:si>
  <x:si>
    <x:t xml:space="preserve">여러 데이터의 일관성과 저장 시점·실패 시 롤백 검증 필요</x:t>
  </x:si>
  <x:si>
    <x:t xml:space="preserve">• 결제 대기 상태의 주문(Order) 데이터 생성 API 구현</x:t>
  </x:si>
  <x:si>
    <x:t xml:space="preserve">• 사이즈 설문 저장·수정 API 구현 (SMALL/FIT/BIG)</x:t>
  </x:si>
  <x:si>
    <x:t xml:space="preserve">• 주문 서비스 API 호출로 본인 주문 항목 여부 및 설문 가능 상태 검증</x:t>
  </x:si>
  <x:si>
    <x:t xml:space="preserve">• 동일 주문 항목 중복 설문 방지 (UNIQUE(user_id, order_item_id))</x:t>
  </x:si>
  <x:si>
    <x:t xml:space="preserve">• 설문 저장 시 추천 서비스로 선호 실측 갱신 요청 전달 (이벤트 또는 API, 경민님과 합의)</x:t>
  </x:si>
  <x:si>
    <x:t xml:space="preserve">커뮤니티 게시글 댓글과 투표 (수혁, 지현)</x:t>
  </x:si>
  <x:si>
    <x:t xml:space="preserve">• 게시글 생성·수정·삭제 API 구현 (작성자 권한 검증)</x:t>
  </x:si>
  <x:si>
    <x:t xml:space="preserve">• 게시글 상세 조회 API 구현 (조회수 증가)</x:t>
  </x:si>
  <x:si>
    <x:t xml:space="preserve">• 이미지 업로드 및 S3 저장 구현 (방식 합의 후)</x:t>
  </x:si>
  <x:si>
    <x:t xml:space="preserve">• 상품 참조 저장 구현 (방식 합의 후)</x:t>
  </x:si>
  <x:si>
    <x:t xml:space="preserve">• 게시글별 댓글 조회 API 구현 (답글 포함 계층 구조 응답)</x:t>
  </x:si>
  <x:si>
    <x:t xml:space="preserve">• 댓글·답글 생성 API 구현 (답글은 1단계까지만 허용)</x:t>
  </x:si>
  <x:si>
    <x:t xml:space="preserve">• 댓글 수정 API 구현 (작성자 권한 검증)</x:t>
  </x:si>
  <x:si>
    <x:t xml:space="preserve">• 댓글 삭제 API 구현 (soft delete, 삭제 상태로 표시)</x:t>
  </x:si>
  <x:si>
    <x:t xml:space="preserve">• 댓글 좋아요 추가·취소 API 구현 (사용자당 1회)</x:t>
  </x:si>
  <x:si>
    <x:t xml:space="preserve">• 게시글 존재 여부 검증</x:t>
  </x:si>
  <x:si>
    <x:t xml:space="preserve">• 내 게시글에 타인이 댓글 작성 시 알림 이벤트 발행</x:t>
  </x:si>
  <x:si>
    <x:t xml:space="preserve">• 투표 참여 API 구현 (마감 후 투표 거부, 중복 투표는 UNIQUE 제약으로 방지하고 재요청에 같은 결과 응답)</x:t>
  </x:si>
  <x:si>
    <x:t xml:space="preserve">• 투표 집계 조회 API 구현 (비로그인 조회 허용, 조회 시점 기준 집계)</x:t>
  </x:si>
  <x:si>
    <x:t xml:space="preserve">• 투표 마감 감지 스케줄러 구현 및 작성자 알림 이벤트 발행</x:t>
  </x:si>
  <x:si>
    <x:t xml:space="preserve">투표 마감/알림 작업 간 중복 범위 확인</x:t>
  </x:si>
  <x:si>
    <x:t xml:space="preserve">• 투표 게시글이 아닌 글에 대한 투표 요청 거부</x:t>
  </x:si>
  <x:si>
    <x:t xml:space="preserve">• 공유 대상 초안 조회 API 구현 (추천·피팅 서비스(경민님), 월드컵 서비스(주희님) 호출)</x:t>
  </x:si>
  <x:si>
    <x:t xml:space="preserve">• 공유 대상의 본인 소유 여부 검증</x:t>
  </x:si>
  <x:si>
    <x:t xml:space="preserve">• 게시글에 공유 대상 타입·ID 및 표시용 스냅샷 저장</x:t>
  </x:si>
  <x:si>
    <x:t xml:space="preserve">• 게시글 목록 조회 API 구현 (페이징, 최신순)</x:t>
  </x:si>
  <x:si>
    <x:t xml:space="preserve">• 분류별 목록 필터 구현 (전체·투표·패션·코디 질문·일상)</x:t>
  </x:si>
  <x:si>
    <x:t xml:space="preserve">• 제목·본문 키워드 검색 구현</x:t>
  </x:si>
  <x:si>
    <x:t xml:space="preserve">• 목록 응답에 제목·분류·작성자 닉네임·작성 시간·썸네일·좋아요 수·댓글 수 포함</x:t>
  </x:si>
  <x:si>
    <x:t xml:space="preserve">• 썸네일 결정 규칙 구현 (첨부 이미지 → 첫 번째 투표 선택지 이미지 → 공유 대상 스냅샷 이미지 순)</x:t>
  </x:si>
  <x:si>
    <x:t xml:space="preserve">• 게시글 좋아요 추가·취소 API 구현 (사용자당 1회)</x:t>
  </x:si>
  <x:si>
    <x:t xml:space="preserve">• 결과가 없을 때 빈 목록 응답 처리</x:t>
  </x:si>
  <x:si>
    <x:t xml:space="preserve">• 투표 게시글 생성 API 구현 (게시글과 선택지를 하나의 트랜잭션으로 저장)</x:t>
  </x:si>
  <x:si>
    <x:t xml:space="preserve">• 선택지 개수 검증 (2~4개, A~D)</x:t>
  </x:si>
  <x:si>
    <x:t xml:space="preserve">• 선택지 출처별 저장 구현 (AI 추천 코디·상품 / 찜 상품 / 직접 업로드 사진)</x:t>
  </x:si>
  <x:si>
    <x:t xml:space="preserve">• AI 추천·찜 선택지는 본인 소유 여부 검증 (추천·피팅 서비스(경민), 찜 서비스(주희) API 호출)</x:t>
  </x:si>
  <x:si>
    <x:t xml:space="preserve">• 선택지 표시용 스냅샷 저장 (이미지·상품명·가격·출처)</x:t>
  </x:si>
  <x:si>
    <x:t xml:space="preserve">• 직접 업로드 사진 S3 저장 구현 (허용 형식·용량 합의 후)</x:t>
  </x:si>
  <x:si>
    <x:t xml:space="preserve">• 투표 마감 시각 서버에서 자동 설정 (생성 시각 + 6시간, 클라이언트 값 무시)</x:t>
  </x:si>
  <x:si>
    <x:t xml:space="preserve">• 작성자 투표 조기 종료 API 구현</x:t>
  </x:si>
  <x:si>
    <x:t xml:space="preserve">• 투표 게시글 수정 API 구현 (투표 참여가 1건 이상이면 선택지 수정 거부, 제목·본문만 수정 허용)</x:t>
  </x:si>
  <x:si>
    <x:t xml:space="preserve">• 수정 화면용 기존 게시글·선택지·첨부 정보 조회 응답 구현</x:t>
  </x:si>
  <x:si>
    <x:t xml:space="preserve">AI 가상 피팅 (승원, 경민)</x:t>
  </x:si>
  <x:si>
    <x:t xml:space="preserve">• 사용자별 피팅 후보 목록 조회 API 구현</x:t>
  </x:si>
  <x:si>
    <x:t xml:space="preserve">• 피팅 후보 상품 추가 API 구현</x:t>
  </x:si>
  <x:si>
    <x:t xml:space="preserve">• 동일 상품 중복 추가 방지 로직 구현</x:t>
  </x:si>
  <x:si>
    <x:t xml:space="preserve">• 피팅 후보 상품 삭제 API 구현</x:t>
  </x:si>
  <x:si>
    <x:t xml:space="preserve">• 피팅에 필요한 상품 정보 조회 응답 구현</x:t>
  </x:si>
  <x:si>
    <x:t xml:space="preserve">• 사용자 전신 사진 업로드 API 및 스토리지 저장 구현</x:t>
  </x:si>
  <x:si>
    <x:t xml:space="preserve">• OpenAI GPT-Image-2.5 Sunburst API 연동 및 이미지 에디트/합성 페이로드 구성</x:t>
  </x:si>
  <x:si>
    <x:t xml:space="preserve">이미지 입력·합성 요청·실패 처리 검증; 사용 가능한 API 확정 필요</x:t>
  </x:si>
  <x:si>
    <x:t xml:space="preserve">원문 모델명 유지; 제공 여부 미확인. 일반 이미지 API 연동 가정</x:t>
  </x:si>
  <x:si>
    <x:t xml:space="preserve">• 피팅 작업 생성 API 구현 및 즉시 응답 반환</x:t>
  </x:si>
  <x:si>
    <x:t xml:space="preserve">• 백그라운드 작업을 통한 OpenAI Sunburst API 호출 및 이미지 합성 비동기 처리</x:t>
  </x:si>
  <x:si>
    <x:t xml:space="preserve">비동기 실행·타임아웃·재시도·작업 상태 정합성 관리 필요</x:t>
  </x:si>
  <x:si>
    <x:t xml:space="preserve">• 생성된 실착 합성 결과 이미지의 스토리지 저장 및 이력 기록</x:t>
  </x:si>
  <x:si>
    <x:t xml:space="preserve">• 작업 완료 시점에 유저의 FCM 토큰을 조회하여 푸시 알림 기능 구현</x:t>
  </x:si>
  <x:si>
    <x:t xml:space="preserve">• 완료 작업의 결과 이미지 및 연결된 상품 정보 조회 API 구현</x:t>
  </x:si>
  <x:si>
    <x:t xml:space="preserve">• 새 피팅 요청 시 기존 결과를 덮어쓰지 않고 개별 작업으로 분리 저장하는 로직 구현</x:t>
  </x:si>
  <x:si>
    <x:t xml:space="preserve">• 삭제된 데이터에 대한 조회 제한 방어 로직 구현</x:t>
  </x:si>
  <x:si>
    <x:t xml:space="preserve">알림 기능 (준우,지현)</x:t>
  </x:si>
  <x:si>
    <x:t xml:space="preserve">FR-NOT-00 알림 공통 기반</x:t>
  </x:si>
  <x:si>
    <x:t xml:space="preserve">• 사용자별 알림 저장 구조 및 목록·안 읽은 수 조회 API 구현</x:t>
  </x:si>
  <x:si>
    <x:t xml:space="preserve">• 알림 읽음 상태 변경 API 구현</x:t>
  </x:si>
  <x:si>
    <x:t xml:space="preserve">• FCM 푸시 토큰 등록·갱신 API 및 푸시 발송 구현</x:t>
  </x:si>
  <x:si>
    <x:t xml:space="preserve">• 무효 토큰 비활성화 및 푸시 발송 결과 기록</x:t>
  </x:si>
  <x:si>
    <x:t xml:space="preserve">• 이벤트 ID 기준 중복 알림 방지</x:t>
  </x:si>
  <x:si>
    <x:t xml:space="preserve">클라우드 (나연)</x:t>
  </x:si>
  <x:si>
    <x:t xml:space="preserve">사용자 제공 점수</x:t>
  </x:si>
  <x:si>
    <x:t xml:space="preserve">AWS 환경·보안 설정 (나연)</x:t>
  </x:si>
  <x:si>
    <x:t xml:space="preserve">• 개발 환경과 운영 환경, 기본 AWS 리소스 구성</x:t>
  </x:si>
  <x:si>
    <x:t xml:space="preserve">• VPC·서브넷·보안 그룹 설정: 외부 서비스와 내부 DB·캐시 접근 분리</x:t>
  </x:si>
  <x:si>
    <x:t xml:space="preserve">• IAM 역할·정책 설정: 서비스별 AWS 리소스 접근 권한 구성</x:t>
  </x:si>
  <x:si>
    <x:t xml:space="preserve">• 시크릿·환경 변수 관리: DB 비밀번호, JWT 키, 외부 API 키 등</x:t>
  </x:si>
  <x:si>
    <x:t xml:space="preserve">컨테이너 배포·CI/CD (나연)</x:t>
  </x:si>
  <x:si>
    <x:t xml:space="preserve">• Spring 백엔드 서비스 Docker 이미지 구성</x:t>
  </x:si>
  <x:si>
    <x:t xml:space="preserve">• FastAPI 추천·가상 피팅 서비스와 비동기 작업자 Docker 이미지 구성</x:t>
  </x:si>
  <x:si>
    <x:t xml:space="preserve">• AWS 배포 대상과 서비스 간 네트워크·통신 설정</x:t>
  </x:si>
  <x:si>
    <x:t xml:space="preserve">• GitHub Actions 빌드·배포 파이프라인 구성</x:t>
  </x:si>
  <x:si>
    <x:t xml:space="preserve">• Spring Cloud Gateway 외부 접속, 도메인·HTTPS 인증서 설정</x:t>
  </x:si>
  <x:si>
    <x:t xml:space="preserve">데이터·파일·메시지 인프라 (나연)</x:t>
  </x:si>
  <x:si>
    <x:t xml:space="preserve">• PostgreSQL AWS 인스턴스 구성, 네트워크 연결 및 백업 설정</x:t>
  </x:si>
  <x:si>
    <x:t xml:space="preserve">• Redis 배포 및 서비스 연결 설정</x:t>
  </x:si>
  <x:si>
    <x:t xml:space="preserve">• S3 버킷 구성: 상품·커뮤니티·가상 피팅 이미지 저장 및 접근 권한 설정</x:t>
  </x:si>
  <x:si>
    <x:t xml:space="preserve">• SQS 작업 큐 구성: 비동기 처리, 재시도 및 실패 메시지 큐 설정</x:t>
  </x:si>
  <x:si>
    <x:t xml:space="preserve">• 백엔드·AI 서비스별 S3·SQS 접근 권한 연결 및 확인</x:t>
  </x:si>
  <x:si>
    <x:t xml:space="preserve">AI 검색 인프라 (나연)</x:t>
  </x:si>
  <x:si>
    <x:t xml:space="preserve">• Qdrant 배포, 영속 저장 공간 및 내부 접근 설정</x:t>
  </x:si>
  <x:si>
    <x:t xml:space="preserve">• AI 서비스와 Qdrant·S3·SQS 연결 설정 및 동작 확인</x:t>
  </x:si>
  <x:si>
    <x:t xml:space="preserve">로그·모니터링·운영 점검 (나연)</x:t>
  </x:si>
  <x:si>
    <x:t xml:space="preserve">• 서비스 로그·기본 지표 수집 및 보존 설정</x:t>
  </x:si>
  <x:si>
    <x:t xml:space="preserve">• Grafana 데이터 소스 연결 및 서비스 상태 대시보드 구성</x:t>
  </x:si>
  <x:si>
    <x:t xml:space="preserve">• 서비스 오류·작업 큐 적체 등 주요 상황의 알림 설정</x:t>
  </x:si>
  <x:si>
    <x:t xml:space="preserve">• 배포 후 주요 기능 점검 및 기본 운영·장애 대응 절차 정리</x:t>
  </x:si>
  <x:si>
    <x:t xml:space="preserve">Cloud 총점</x:t>
  </x:si>
  <x:si>
    <x:t xml:space="preserve">평가 기준과 적용 범위</x:t>
  </x:si>
  <x:si>
    <x:t xml:space="preserve">구분</x:t>
  </x:si>
  <x:si>
    <x:t xml:space="preserve">평가 기준 및 가정</x:t>
  </x:si>
  <x:si>
    <x:t xml:space="preserve">평가 성격</x:t>
  </x:si>
  <x:si>
    <x:t xml:space="preserve">개별 개발자의 실측 자료가 없는 계획용 추정. 개인별 역량 평가가 아님.</x:t>
  </x:si>
  <x:si>
    <x:t xml:space="preserve">시간 1점</x:t>
  </x:si>
  <x:si>
    <x:t xml:space="preserve">0.5~2시간: 단순 표시·버튼·링크·기본 조건 분기</x:t>
  </x:si>
  <x:si>
    <x:t xml:space="preserve">시간 2점</x:t>
  </x:si>
  <x:si>
    <x:t xml:space="preserve">2시간 초과~4시간: 일반 폼·조회·CRUD·기본 API 연동</x:t>
  </x:si>
  <x:si>
    <x:t xml:space="preserve">시간 3점</x:t>
  </x:si>
  <x:si>
    <x:t xml:space="preserve">4시간 초과~8시간: 복합 상태·업로드·인증·서비스 간 연동</x:t>
  </x:si>
  <x:si>
    <x:t xml:space="preserve">시간 4점</x:t>
  </x:si>
  <x:si>
    <x:t xml:space="preserve">8시간 초과: 검색·AI·비동기 파이프라인 등. 보통 1~3일 이상, 상한 확정 불가</x:t>
  </x:si>
  <x:si>
    <x:t xml:space="preserve">난이도 1점</x:t>
  </x:si>
  <x:si>
    <x:t xml:space="preserve">명확한 명세와 기존 패턴으로 구현 가능한 단순 작업</x:t>
  </x:si>
  <x:si>
    <x:t xml:space="preserve">난이도 2점</x:t>
  </x:si>
  <x:si>
    <x:t xml:space="preserve">일반 상태 관리·검증·CRUD·조회 구조가 필요한 작업</x:t>
  </x:si>
  <x:si>
    <x:t xml:space="preserve">난이도 3점</x:t>
  </x:si>
  <x:si>
    <x:t xml:space="preserve">다중 상태·권한·동시 요청·비동기·서비스 연동의 경계 조건이 복잡</x:t>
  </x:si>
  <x:si>
    <x:t xml:space="preserve">난이도 4점</x:t>
  </x:si>
  <x:si>
    <x:t xml:space="preserve">AI 품질·데이터 정규화·검색/추천 알고리즘 등 설계 및 실험 불확실성이 큼</x:t>
  </x:si>
  <x:si>
    <x:t xml:space="preserve">MAX(시간 점수, 난이도 점수). 일정 또는 기술 리스크가 큰 쪽을 보수적으로 반영.</x:t>
  </x:si>
  <x:si>
    <x:t xml:space="preserve">개발자 가정</x:t>
  </x:si>
  <x:si>
    <x:t xml:space="preserve">해당 스택 기본 숙련 개발자 1인. 공통 프로젝트·DB·인증/통신 틀·스토리지 접근 준비 가정.</x:t>
  </x:si>
  <x:si>
    <x:t xml:space="preserve">포함 범위</x:t>
  </x:si>
  <x:si>
    <x:t xml:space="preserve">항목 자체의 구현과 기본 동작·오류 검증. 프론트는 기본 반응형과 기존 디자인 체계 사용.</x:t>
  </x:si>
  <x:si>
    <x:t xml:space="preserve">제외 범위</x:t>
  </x:si>
  <x:si>
    <x:t xml:space="preserve">초기 학습·디자인 확정·타 팀 대기·인프라 신규 구축·배포·대규모 통합 QA·운영 수준 고도화.</x:t>
  </x:si>
  <x:si>
    <x:t xml:space="preserve">AI 가정</x:t>
  </x:si>
  <x:si>
    <x:t xml:space="preserve">기존 모델/API 사용. 자체 학습·논문 재현·추천 정확도 보장·실제 핏 보장 제외.</x:t>
  </x:si>
  <x:si>
    <x:t xml:space="preserve">시간 해석</x:t>
  </x:si>
  <x:si>
    <x:t xml:space="preserve">능동 작업 시간이며 달력상의 완료 기간 아님. API·데이터·명세가 미확정이면 재산정 필요.</x:t>
  </x:si>
  <x:si>
    <x:t xml:space="preserve">합계 해석</x:t>
  </x:si>
  <x:si>
    <x:t xml:space="preserve">상위 행은 종합 점수의 단순 합계. 서열 척도이므로 시간 환산이나 생산성 비교에 쓰지 않음.</x:t>
  </x:si>
  <x:si>
    <x:t xml:space="preserve">중복 주의</x:t>
  </x:si>
  <x:si>
    <x:t xml:space="preserve">UI·업로드·알림 등 공통 기능 재사용 및 중복 과업이 있어 시간의 단순 합은 일정이 아님.</x:t>
  </x:si>
  <x:si>
    <x:t xml:space="preserve">구현됨 표시</x:t>
  </x:si>
  <x:si>
    <x:t xml:space="preserve">원문에 구현됨으로 적힌 3개 항목도 신규 구현 난이도를 평가. 잔여 시간은 별도 확인 필요.</x:t>
  </x:si>
  <x:si>
    <x:t xml:space="preserve">분류 및 담당</x:t>
  </x:si>
  <x:si>
    <x:t xml:space="preserve">원문 구조와 담당자 문자열 유지. FE 알림에 포함된 서버 작업은 비고에 표시.</x:t>
  </x:si>
  <x:si>
    <x:t xml:space="preserve">범위 공백</x:t>
  </x:si>
  <x:si>
    <x:t xml:space="preserve">결제 영역 명칭은 있지만 PG 승인·웹훅·취소·환불 세부 과업은 없음. 해당 구현은 평가에 미포함.</x:t>
  </x:si>
  <x:si>
    <x:t xml:space="preserve">API 명칭</x:t>
  </x:si>
  <x:si>
    <x:t xml:space="preserve">원문의 GPT-Image-2.5 Sunburst는 제공 여부를 확인하지 않음. 실제 사용 API 확정 후 재평가.</x:t>
  </x:si>
  <x:si>
    <x:t xml:space="preserve">입력 점수</x:t>
  </x:si>
  <x:si>
    <x:t xml:space="preserve">원문 기존 점수는 F열 보존. 새 평가 점수는 B~D열. 빈칸과 0을 구분.</x:t>
  </x:si>
  <x:si>
    <x:t xml:space="preserve">원문 출처</x:t>
  </x:si>
  <x:si>
    <x:t xml:space="preserve">Pasted markdown(20261007-063156).md · 세부 항목 272개 · 2026-10-07 평가</x:t>
  </x:si>
</x:sst>
</file>

<file path=xl/styles.xml><?xml version="1.0" encoding="utf-8"?>
<x:styleSheet xmlns:x="http://schemas.openxmlformats.org/spreadsheetml/2006/main">
  <x:numFmts count="4">
    <x:numFmt numFmtId="176" formatCode="0.000%"/>
    <x:numFmt numFmtId="200" formatCode="#,##0"/>
    <x:numFmt numFmtId="201" formatCode="0.0%"/>
    <x:numFmt numFmtId="202" formatCode="0%"/>
  </x:numFmts>
  <x:fonts count="52">
    <x:font>
      <x:sz val="11"/>
      <x:name val="Carlito"/>
    </x:font>
    <x:font>
      <x:sz val="10"/>
      <x:color rgb="FF222222"/>
      <x:name val="Arial"/>
      <x:family val="2"/>
    </x:font>
    <x:font>
      <x:b/>
      <x:sz val="12"/>
      <x:color rgb="FF234A6F"/>
      <x:name val="Arial"/>
      <x:family val="2"/>
    </x:font>
    <x:font>
      <x:b/>
      <x:sz val="11"/>
      <x:color rgb="FFFFFFFF"/>
      <x:name val="Arial"/>
      <x:family val="2"/>
    </x:font>
    <x:font>
      <x:b/>
      <x:sz val="10"/>
      <x:color rgb="FF173A56"/>
      <x:name val="Arial"/>
      <x:family val="2"/>
    </x:font>
    <x:font>
      <x:b/>
      <x:sz val="10"/>
      <x:color rgb="FF333333"/>
      <x:name val="Arial"/>
      <x:family val="2"/>
    </x:font>
    <x:font>
      <x:sz val="11"/>
      <x:name val="Carlito"/>
      <x:family val="2"/>
    </x:font>
    <x:font>
      <x:sz val="11"/>
      <x:name val="맑은 고딕"/>
      <x:family val="3"/>
    </x:font>
    <x:font>
      <x:sz val="11"/>
      <x:name val="Carlito"/>
      <x:family val="3"/>
    </x:font>
    <x:font>
      <x:sz val="11"/>
      <x:name val="맑은 고딕"/>
      <x:family val="3"/>
    </x:font>
    <x:font>
      <x:sz val="11"/>
      <x:name val="돋움"/>
      <x:family val="3"/>
    </x:font>
    <x:font>
      <x:b/>
      <x:sz val="11"/>
      <x:color rgb="FF1F1F1F"/>
      <x:name val="Carlito"/>
      <x:family val="2"/>
    </x:font>
    <x:font>
      <x:b/>
      <x:sz val="11"/>
      <x:color rgb="FF1F1F1F"/>
      <x:name val="돋움"/>
      <x:family val="3"/>
    </x:font>
    <x:font>
      <x:b/>
      <x:sz val="11"/>
      <x:color rgb="FF1F1F1F"/>
      <x:name val="맑은 고딕"/>
      <x:family val="3"/>
    </x:font>
    <x:font>
      <x:sz val="11"/>
      <x:name val="맑은 고딕"/>
      <x:family val="3"/>
    </x:font>
    <x:font>
      <x:b/>
      <x:sz val="11"/>
      <x:name val="맑은 고딕"/>
      <x:family val="3"/>
    </x:font>
    <x:font>
      <x:b/>
      <x:sz val="11"/>
      <x:name val="Carlito"/>
      <x:family val="2"/>
    </x:font>
    <x:font>
      <x:b/>
      <x:sz val="12"/>
      <x:color rgb="FF234A6F"/>
      <x:name val="맑은 고딕"/>
      <x:family val="3"/>
    </x:font>
    <x:font>
      <x:b/>
      <x:sz val="12"/>
      <x:color rgb="FF234A6F"/>
      <x:name val="Arial"/>
      <x:family val="3"/>
    </x:font>
    <x:font>
      <x:sz val="11"/>
      <x:color rgb="FF000000"/>
      <x:name val="Arial"/>
      <x:family val="2"/>
    </x:font>
    <x:font>
      <x:sz val="11"/>
      <x:name val="Arial"/>
      <x:family val="2"/>
    </x:font>
    <x:font>
      <x:b/>
      <x:sz val="11"/>
      <x:color rgb="FF263C54"/>
      <x:name val="Arial"/>
      <x:family val="2"/>
    </x:font>
    <x:font>
      <x:b/>
      <x:sz val="16"/>
      <x:color rgb="FF263C54"/>
      <x:name val="Arial"/>
      <x:family val="2"/>
    </x:font>
    <x:font>
      <x:b/>
      <x:sz val="11"/>
      <x:name val="Carlito"/>
      <x:family val="2"/>
    </x:font>
    <x:font>
      <x:sz val="11"/>
      <x:name val="돋움"/>
      <x:family val="3"/>
    </x:font>
    <x:font>
      <x:sz val="11"/>
      <x:name val="맑은 고딕"/>
      <x:family val="3"/>
    </x:font>
    <x:font>
      <x:sz val="11"/>
      <x:name val="맑은 고딕"/>
      <x:family val="3"/>
    </x:font>
    <x:font>
      <x:b/>
      <x:sz val="11"/>
      <x:color rgb="FFFFFFFF"/>
      <x:name val="맑은 고딕"/>
      <x:family val="3"/>
    </x:font>
    <x:font>
      <x:b/>
      <x:sz val="11"/>
      <x:name val="맑은 고딕"/>
      <x:family val="3"/>
    </x:font>
    <x:font>
      <x:sz val="11"/>
      <x:name val="맑은 고딕"/>
      <x:family val="2"/>
    </x:font>
    <x:font>
      <x:b/>
      <x:sz val="11"/>
      <x:color rgb="FFFFFFFF"/>
      <x:name val="맑은 고딕"/>
      <x:family val="2"/>
    </x:font>
    <x:font>
      <x:b/>
      <x:sz val="11"/>
      <x:color rgb="FF234A6F"/>
      <x:name val="맑은 고딕"/>
      <x:family val="3"/>
    </x:font>
    <x:font>
      <x:b/>
      <x:sz val="11"/>
      <x:color rgb="FF234A6F"/>
      <x:name val="맑은 고딕"/>
      <x:family val="2"/>
    </x:font>
    <x:font>
      <x:sz val="8"/>
      <x:name val="돋움"/>
      <x:family val="3"/>
    </x:font>
    <x:font>
      <x:b/>
      <x:sz val="10"/>
      <x:color rgb="FF24364B"/>
      <x:name val="맑은 고딕"/>
      <x:family val="3"/>
    </x:font>
    <x:font>
      <x:sz val="10"/>
      <x:color rgb="FF24364B"/>
      <x:name val="맑은 고딕"/>
    </x:font>
    <x:font>
      <x:b/>
      <x:sz val="10"/>
      <x:color rgb="FF24364B"/>
      <x:name val="맑은 고딕"/>
      <x:family val="2"/>
    </x:font>
    <x:font>
      <x:sz val="10"/>
      <x:color rgb="FF24364B"/>
      <x:name val="맑은 고딕"/>
      <x:family val="2"/>
    </x:font>
    <x:font>
      <x:sz val="10"/>
      <x:color rgb="FF24364B"/>
      <x:name val="맑은 고딕"/>
      <x:family val="3"/>
    </x:font>
    <x:font>
      <x:b/>
      <x:sz val="16"/>
      <x:color rgb="FF17324F"/>
      <x:name val="맑은 고딕"/>
      <x:family val="3"/>
    </x:font>
    <x:font>
      <x:b/>
      <x:sz val="11"/>
      <x:color rgb="FFFFFFFF"/>
      <x:name val="맑은 고딕"/>
    </x:font>
    <x:font>
      <x:b/>
      <x:sz val="10"/>
      <x:color rgb="FF163A5A"/>
      <x:name val="맑은 고딕"/>
      <x:family val="2"/>
    </x:font>
    <x:font>
      <x:b/>
      <x:sz val="10"/>
      <x:color rgb="FF163A5A"/>
      <x:name val="맑은 고딕"/>
      <x:family val="3"/>
    </x:font>
    <x:font>
      <x:b/>
      <x:sz val="10"/>
      <x:color rgb="FF163A5A"/>
      <x:name val="맑은 고딕"/>
    </x:font>
    <x:font>
      <x:b/>
      <x:sz val="10"/>
      <x:color rgb="FF244A6B"/>
      <x:name val="맑은 고딕"/>
      <x:family val="2"/>
    </x:font>
    <x:font>
      <x:b/>
      <x:sz val="10"/>
      <x:color rgb="FF244A6B"/>
      <x:name val="맑은 고딕"/>
    </x:font>
    <x:font>
      <x:b/>
      <x:sz val="10"/>
      <x:color rgb="FFFFFFFF"/>
      <x:name val="맑은 고딕"/>
      <x:family val="3"/>
    </x:font>
    <x:font>
      <x:b/>
      <x:sz val="10"/>
      <x:color rgb="FFFFFFFF"/>
      <x:name val="맑은 고딕"/>
    </x:font>
    <x:font>
      <x:b/>
      <x:sz val="10"/>
      <x:color rgb="FF153957"/>
      <x:name val="맑은 고딕"/>
    </x:font>
    <x:font>
      <x:b/>
      <x:sz val="15"/>
      <x:color rgb="FF17324F"/>
      <x:name val="맑은 고딕"/>
      <x:family val="2"/>
    </x:font>
    <x:font>
      <x:i/>
      <x:sz val="10"/>
      <x:color rgb="FF597086"/>
      <x:name val="맑은 고딕"/>
      <x:family val="2"/>
    </x:font>
    <x:font>
      <x:b/>
      <x:sz val="10"/>
      <x:color rgb="FFFFFFFF"/>
      <x:name val="맑은 고딕"/>
      <x:family val="2"/>
    </x:font>
  </x:fonts>
  <x:fills count="20">
    <x:fill>
      <x:patternFill patternType="none"/>
    </x:fill>
    <x:fill>
      <x:patternFill patternType="gray125"/>
    </x:fill>
    <x:fill>
      <x:patternFill patternType="solid">
        <x:fgColor rgb="FFEAF0F6"/>
      </x:patternFill>
    </x:fill>
    <x:fill>
      <x:patternFill patternType="solid">
        <x:fgColor rgb="FF234A6F"/>
      </x:patternFill>
    </x:fill>
    <x:fill>
      <x:patternFill patternType="solid">
        <x:fgColor rgb="FFD9E8F4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263C54"/>
      </x:patternFill>
    </x:fill>
    <x:fill>
      <x:patternFill patternType="solid">
        <x:fgColor rgb="FFDAE5EF"/>
      </x:patternFill>
    </x:fill>
    <x:fill>
      <x:patternFill patternType="solid">
        <x:fgColor rgb="FFEEF2F6"/>
      </x:patternFill>
    </x:fill>
    <x:fill>
      <x:patternFill patternType="solid">
        <x:fgColor rgb="FF234A6F"/>
      </x:patternFill>
    </x:fill>
    <x:fill>
      <x:patternFill patternType="solid">
        <x:fgColor rgb="FFEAF0F6"/>
      </x:patternFill>
    </x:fill>
    <x:fill>
      <x:patternFill patternType="solid">
        <x:fgColor rgb="FFD9E8F4"/>
      </x:patternFill>
    </x:fill>
    <x:fill>
      <x:patternFill patternType="solid">
        <x:fgColor rgb="FF173B60"/>
      </x:patternFill>
    </x:fill>
    <x:fill>
      <x:patternFill patternType="solid">
        <x:fgColor rgb="FFDDEAF6"/>
      </x:patternFill>
    </x:fill>
    <x:fill>
      <x:patternFill patternType="solid">
        <x:fgColor rgb="FFF0F5FA"/>
      </x:patternFill>
    </x:fill>
    <x:fill>
      <x:patternFill patternType="solid">
        <x:fgColor rgb="FFF8FAFD"/>
      </x:patternFill>
    </x:fill>
    <x:fill>
      <x:patternFill patternType="solid">
        <x:fgColor rgb="FF263F5A"/>
      </x:patternFill>
    </x:fill>
    <x:fill>
      <x:patternFill patternType="solid">
        <x:fgColor rgb="FFE4EEF7"/>
      </x:patternFill>
    </x:fill>
    <x:fill>
      <x:patternFill patternType="solid">
        <x:fgColor rgb="FFD3E5F5"/>
      </x:patternFill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/>
      <x:bottom style="medium">
        <x:color rgb="FF2D5B83"/>
      </x:bottom>
      <x:diagonal/>
    </x:border>
    <x:border>
      <x:left/>
      <x:right/>
      <x:top/>
      <x:bottom style="thin">
        <x:color rgb="FFE7EDF4"/>
      </x:bottom>
      <x:diagonal/>
    </x:border>
  </x:borders>
  <x:cellStyleXfs count="4">
    <x:xf numFmtId="0" fontId="0" fillId="0" borderId="0"/>
    <x:xf numFmtId="9" fontId="6" fillId="0" borderId="0" applyFont="0" applyFill="0" applyBorder="0" applyAlignment="0" applyProtection="0">
      <x:alignment vertical="center"/>
    </x:xf>
    <x:xf numFmtId="0" fontId="3" fillId="3" borderId="0" xfId="0" applyFont="1" applyFill="1" applyAlignment="1">
      <x:alignment vertical="center"/>
    </x:xf>
    <x:xf numFmtId="0" fontId="6" fillId="0" borderId="0"/>
  </x:cellStyleXfs>
  <x:cellXfs count="292">
    <x:xf numFmtId="0" fontId="0" fillId="0" borderId="0" xfId="0"/>
    <x:xf numFmtId="0" fontId="1" fillId="0" borderId="0" xfId="0" applyFont="1" applyAlignment="1">
      <x:alignment vertical="center"/>
    </x:xf>
    <x:xf numFmtId="0" fontId="3" fillId="3" borderId="0" xfId="0" applyFont="1" applyFill="1" applyAlignment="1">
      <x:alignment vertical="center"/>
    </x:xf>
    <x:xf numFmtId="0" fontId="4" fillId="4" borderId="0" xfId="0" applyFont="1" applyFill="1" applyAlignment="1">
      <x:alignment vertical="center"/>
    </x:xf>
    <x:xf numFmtId="0" fontId="5" fillId="0" borderId="0" xfId="0" applyFont="1" applyAlignment="1">
      <x:alignment vertical="center"/>
    </x:xf>
    <x:xf numFmtId="0" fontId="7" fillId="0" borderId="0" xfId="0" applyFont="1"/>
    <x:xf numFmtId="9" fontId="7" fillId="0" borderId="0" xfId="0" applyNumberFormat="1" applyFont="1"/>
    <x:xf numFmtId="0" fontId="7" fillId="0" borderId="0" xfId="0" applyFont="1" applyAlignment="1">
      <x:alignment horizontal="center"/>
    </x:xf>
    <x:xf numFmtId="9" fontId="7" fillId="0" borderId="0" xfId="0" applyNumberFormat="1" applyFont="1" applyAlignment="1">
      <x:alignment horizontal="center"/>
    </x:xf>
    <x:xf numFmtId="0" fontId="7" fillId="0" borderId="1" xfId="0" applyFont="1" applyBorder="1" applyAlignment="1">
      <x:alignment horizontal="center"/>
    </x:xf>
    <x:xf numFmtId="0" fontId="4" fillId="4" borderId="1" xfId="0" applyFont="1" applyFill="1" applyBorder="1" applyAlignment="1">
      <x:alignment horizontal="center" vertical="center"/>
    </x:xf>
    <x:xf numFmtId="0" fontId="0" fillId="0" borderId="1" xfId="0" applyBorder="1" applyAlignment="1">
      <x:alignment horizontal="center"/>
    </x:xf>
    <x:xf numFmtId="9" fontId="0" fillId="0" borderId="1" xfId="1" applyFont="1" applyBorder="1" applyAlignment="1">
      <x:alignment horizontal="center"/>
    </x:xf>
    <x:xf numFmtId="0" fontId="8" fillId="0" borderId="1" xfId="0" applyFont="1" applyBorder="1" applyAlignment="1">
      <x:alignment horizontal="center"/>
    </x:xf>
    <x:xf numFmtId="176" fontId="0" fillId="0" borderId="0" xfId="0" applyNumberFormat="1"/>
    <x:xf numFmtId="0" fontId="10" fillId="0" borderId="0" xfId="0" applyFont="1"/>
    <x:xf numFmtId="0" fontId="0" fillId="0" borderId="1" xfId="0" applyBorder="1"/>
    <x:xf numFmtId="0" fontId="10" fillId="0" borderId="1" xfId="0" applyFont="1" applyBorder="1" applyAlignment="1">
      <x:alignment horizontal="center"/>
    </x:xf>
    <x:xf numFmtId="0" fontId="10" fillId="0" borderId="1" xfId="0" applyFont="1" applyBorder="1"/>
    <x:xf numFmtId="0" fontId="9" fillId="0" borderId="1" xfId="0" applyFont="1" applyBorder="1"/>
    <x:xf numFmtId="9" fontId="0" fillId="0" borderId="1" xfId="1" applyFont="1" applyBorder="1" applyAlignment="1"/>
    <x:xf numFmtId="9" fontId="0" fillId="0" borderId="0" xfId="1" applyFont="1" applyAlignment="1"/>
    <x:xf numFmtId="0" fontId="7" fillId="0" borderId="1" xfId="0" applyFont="1" applyBorder="1"/>
    <x:xf numFmtId="9" fontId="0" fillId="0" borderId="1" xfId="2" applyNumberFormat="1" applyFont="1" applyFill="1" applyBorder="1" applyAlignment="1"/>
    <x:xf numFmtId="9" fontId="0" fillId="0" borderId="0" xfId="2" applyNumberFormat="1" applyFont="1" applyFill="1" applyAlignment="1"/>
    <x:xf numFmtId="0" fontId="14" fillId="0" borderId="0" xfId="0" applyFont="1"/>
    <x:xf numFmtId="0" fontId="15" fillId="0" borderId="0" xfId="0" applyFont="1"/>
    <x:xf numFmtId="9" fontId="15" fillId="0" borderId="0" xfId="0" applyNumberFormat="1" applyFont="1"/>
    <x:xf numFmtId="0" fontId="16" fillId="0" borderId="0" xfId="0" applyFont="1"/>
    <x:xf numFmtId="9" fontId="16" fillId="0" borderId="0" xfId="0" applyNumberFormat="1" applyFont="1"/>
    <x:xf numFmtId="9" fontId="0" fillId="0" borderId="0" xfId="0" applyNumberFormat="1"/>
    <x:xf numFmtId="0" fontId="18" fillId="2" borderId="0" xfId="0" applyFont="1" applyFill="1" applyAlignment="1">
      <x:alignment vertical="center"/>
    </x:xf>
    <x:xf numFmtId="1" fontId="19" fillId="0" borderId="0" xfId="0" applyNumberFormat="1" applyFont="1" applyAlignment="1">
      <x:alignment vertical="center" wrapText="1"/>
    </x:xf>
    <x:xf numFmtId="0" fontId="6" fillId="0" borderId="0" xfId="3"/>
    <x:xf numFmtId="0" fontId="20" fillId="0" borderId="0" xfId="3" applyFont="1" applyAlignment="1">
      <x:alignment vertical="center"/>
    </x:xf>
    <x:xf numFmtId="0" fontId="22" fillId="0" borderId="0" xfId="3" applyFont="1" applyAlignment="1">
      <x:alignment vertical="center"/>
    </x:xf>
    <x:xf numFmtId="0" fontId="3" fillId="7" borderId="0" xfId="3" applyFont="1" applyFill="1" applyAlignment="1">
      <x:alignment vertical="center" wrapText="1"/>
    </x:xf>
    <x:xf numFmtId="0" fontId="21" fillId="8" borderId="0" xfId="3" applyFont="1" applyFill="1" applyAlignment="1">
      <x:alignment vertical="center" wrapText="1"/>
    </x:xf>
    <x:xf numFmtId="0" fontId="21" fillId="9" borderId="0" xfId="3" applyFont="1" applyFill="1" applyAlignment="1">
      <x:alignment vertical="center" wrapText="1"/>
    </x:xf>
    <x:xf numFmtId="0" fontId="20" fillId="0" borderId="0" xfId="3" applyFont="1" applyAlignment="1">
      <x:alignment vertical="center" wrapText="1"/>
    </x:xf>
    <x:xf numFmtId="0" fontId="3" fillId="7" borderId="0" xfId="3" applyFont="1" applyFill="1" applyAlignment="1">
      <x:alignment horizontal="center" vertical="center"/>
    </x:xf>
    <x:xf numFmtId="1" fontId="3" fillId="7" borderId="0" xfId="3" applyNumberFormat="1" applyFont="1" applyFill="1" applyAlignment="1">
      <x:alignment vertical="center" wrapText="1"/>
    </x:xf>
    <x:xf numFmtId="1" fontId="21" fillId="8" borderId="0" xfId="3" applyNumberFormat="1" applyFont="1" applyFill="1" applyAlignment="1">
      <x:alignment vertical="center" wrapText="1"/>
    </x:xf>
    <x:xf numFmtId="1" fontId="21" fillId="9" borderId="0" xfId="3" applyNumberFormat="1" applyFont="1" applyFill="1" applyAlignment="1">
      <x:alignment vertical="center" wrapText="1"/>
    </x:xf>
    <x:xf numFmtId="1" fontId="20" fillId="0" borderId="0" xfId="3" applyNumberFormat="1" applyFont="1" applyAlignment="1">
      <x:alignment vertical="center" wrapText="1"/>
    </x:xf>
    <x:xf numFmtId="9" fontId="23" fillId="0" borderId="0" xfId="0" applyNumberFormat="1" applyFont="1"/>
    <x:xf numFmtId="0" fontId="24" fillId="0" borderId="0" xfId="0" applyFont="1"/>
    <x:xf numFmtId="0" fontId="25" fillId="0" borderId="0" xfId="0" applyFont="1"/>
    <x:xf numFmtId="9" fontId="6" fillId="0" borderId="0" xfId="0" applyNumberFormat="1" applyFont="1"/>
    <x:xf numFmtId="1" fontId="26" fillId="0" borderId="0" xfId="0" applyNumberFormat="1" applyFont="1"/>
    <x:xf numFmtId="10" fontId="26" fillId="0" borderId="0" xfId="0" applyNumberFormat="1" applyFont="1"/>
    <x:xf numFmtId="176" fontId="26" fillId="0" borderId="0" xfId="0" applyNumberFormat="1" applyFont="1"/>
    <x:xf numFmtId="0" fontId="27" fillId="10" borderId="0" xfId="0" applyFont="1" applyFill="1"/>
    <x:xf numFmtId="9" fontId="27" fillId="10" borderId="0" xfId="0" applyNumberFormat="1" applyFont="1" applyFill="1"/>
    <x:xf numFmtId="0" fontId="28" fillId="11" borderId="0" xfId="0" applyFont="1" applyFill="1"/>
    <x:xf numFmtId="9" fontId="28" fillId="11" borderId="0" xfId="0" applyNumberFormat="1" applyFont="1" applyFill="1"/>
    <x:xf numFmtId="0" fontId="29" fillId="0" borderId="0" xfId="0" applyFont="1"/>
    <x:xf numFmtId="1" fontId="29" fillId="0" borderId="0" xfId="0" applyNumberFormat="1" applyFont="1"/>
    <x:xf numFmtId="0" fontId="30" fillId="10" borderId="0" xfId="0" applyFont="1" applyFill="1"/>
    <x:xf numFmtId="1" fontId="30" fillId="10" borderId="0" xfId="0" applyNumberFormat="1" applyFont="1" applyFill="1"/>
    <x:xf numFmtId="0" fontId="31" fillId="12" borderId="0" xfId="0" applyFont="1" applyFill="1"/>
    <x:xf numFmtId="1" fontId="31" fillId="12" borderId="0" xfId="0" applyNumberFormat="1" applyFont="1" applyFill="1"/>
    <x:xf numFmtId="10" fontId="31" fillId="12" borderId="0" xfId="0" applyNumberFormat="1" applyFont="1" applyFill="1"/>
    <x:xf numFmtId="176" fontId="31" fillId="12" borderId="0" xfId="0" applyNumberFormat="1" applyFont="1" applyFill="1"/>
    <x:xf numFmtId="0" fontId="32" fillId="12" borderId="0" xfId="0" applyFont="1" applyFill="1"/>
    <x:xf numFmtId="1" fontId="32" fillId="12" borderId="0" xfId="0" applyNumberFormat="1" applyFont="1" applyFill="1"/>
    <x:xf numFmtId="0" fontId="26" fillId="0" borderId="0" xfId="0" applyFont="1" applyAlignment="1">
      <x:alignment wrapText="1"/>
    </x:xf>
    <x:xf numFmtId="0" fontId="29" fillId="0" borderId="0" xfId="0" applyFont="1" applyAlignment="1">
      <x:alignment wrapText="1"/>
    </x:xf>
    <x:xf numFmtId="0" fontId="12" fillId="5" borderId="1" xfId="0" applyFont="1" applyFill="1" applyBorder="1" applyAlignment="1">
      <x:alignment horizontal="center"/>
    </x:xf>
    <x:xf numFmtId="0" fontId="13" fillId="5" borderId="1" xfId="0" applyFont="1" applyFill="1" applyBorder="1" applyAlignment="1">
      <x:alignment horizontal="center"/>
    </x:xf>
    <x:xf numFmtId="0" fontId="11" fillId="5" borderId="1" xfId="0" applyFont="1" applyFill="1" applyBorder="1" applyAlignment="1">
      <x:alignment horizontal="center"/>
    </x:xf>
    <x:xf numFmtId="0" fontId="0" fillId="0" borderId="3" xfId="0" applyBorder="1" applyAlignment="1">
      <x:alignment horizontal="center"/>
    </x:xf>
    <x:xf numFmtId="0" fontId="7" fillId="0" borderId="1" xfId="0" applyFont="1" applyBorder="1"/>
    <x:xf numFmtId="0" fontId="11" fillId="6" borderId="2" xfId="0" applyFont="1" applyFill="1" applyBorder="1" applyAlignment="1">
      <x:alignment horizontal="center"/>
    </x:xf>
    <x:xf numFmtId="0" fontId="12" fillId="6" borderId="1" xfId="0" applyFont="1" applyFill="1" applyBorder="1" applyAlignment="1">
      <x:alignment horizontal="center"/>
    </x:xf>
    <x:xf numFmtId="0" fontId="13" fillId="6" borderId="1" xfId="0" applyFont="1" applyFill="1" applyBorder="1" applyAlignment="1">
      <x:alignment horizontal="center"/>
    </x:xf>
    <x:xf numFmtId="0" fontId="11" fillId="6" borderId="1" xfId="0" applyFont="1" applyFill="1" applyBorder="1" applyAlignment="1">
      <x:alignment horizontal="center"/>
    </x:xf>
    <x:xf numFmtId="0" fontId="9" fillId="0" borderId="1" xfId="0" applyFont="1" applyBorder="1"/>
    <x:xf numFmtId="0" fontId="27" fillId="3" borderId="0" xfId="0" applyFont="1" applyFill="1"/>
    <x:xf numFmtId="9" fontId="27" fillId="3" borderId="0" xfId="0" applyNumberFormat="1" applyFont="1" applyFill="1"/>
    <x:xf numFmtId="0" fontId="15" fillId="2" borderId="0" xfId="0" applyFont="1" applyFill="1"/>
    <x:xf numFmtId="9" fontId="15" fillId="2" borderId="0" xfId="0" applyNumberFormat="1" applyFont="1" applyFill="1"/>
    <x:xf numFmtId="0" fontId="31" fillId="4" borderId="0" xfId="0" applyFont="1" applyFill="1"/>
    <x:xf numFmtId="1" fontId="31" fillId="4" borderId="0" xfId="0" applyNumberFormat="1" applyFont="1" applyFill="1"/>
    <x:xf numFmtId="10" fontId="31" fillId="4" borderId="0" xfId="0" applyNumberFormat="1" applyFont="1" applyFill="1"/>
    <x:xf numFmtId="176" fontId="31" fillId="4" borderId="0" xfId="0" applyNumberFormat="1" applyFont="1" applyFill="1"/>
    <x:xf numFmtId="0" fontId="7" fillId="0" borderId="0" xfId="0" applyFont="1" applyAlignment="1">
      <x:alignment wrapText="1"/>
    </x:xf>
    <x:xf numFmtId="1" fontId="7" fillId="0" borderId="0" xfId="0" applyNumberFormat="1" applyFont="1"/>
    <x:xf numFmtId="10" fontId="7" fillId="0" borderId="0" xfId="0" applyNumberFormat="1" applyFont="1"/>
    <x:xf numFmtId="176" fontId="7" fillId="0" borderId="0" xfId="0" applyNumberFormat="1" applyFont="1"/>
    <x:xf numFmtId="0" fontId="34" fillId="2" borderId="0" xfId="0" applyNumberFormat="1" applyFont="1" applyFill="1" applyBorder="1" applyAlignment="1">
      <x:alignment vertical="center"/>
    </x:xf>
    <x:xf numFmtId="0" fontId="35" fillId="0" borderId="0" xfId="0" applyNumberFormat="1" applyFont="1" applyFill="1" applyBorder="1"/>
    <x:xf numFmtId="9" fontId="35" fillId="0" borderId="0" xfId="0" applyNumberFormat="1" applyFont="1" applyFill="1" applyBorder="1"/>
    <x:xf numFmtId="0" fontId="36" fillId="3" borderId="0" xfId="0" applyNumberFormat="1" applyFont="1" applyFill="1" applyBorder="1" applyAlignment="1">
      <x:alignment vertical="center"/>
    </x:xf>
    <x:xf numFmtId="9" fontId="36" fillId="0" borderId="0" xfId="0" applyNumberFormat="1" applyFont="1" applyFill="1" applyBorder="1"/>
    <x:xf numFmtId="0" fontId="36" fillId="4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/>
    <x:xf numFmtId="9" fontId="34" fillId="0" borderId="0" xfId="0" applyNumberFormat="1" applyFont="1" applyFill="1" applyBorder="1"/>
    <x:xf numFmtId="176" fontId="35" fillId="0" borderId="0" xfId="0" applyNumberFormat="1" applyFont="1" applyFill="1" applyBorder="1"/>
    <x:xf numFmtId="0" fontId="36" fillId="0" borderId="0" xfId="0" applyNumberFormat="1" applyFont="1" applyFill="1" applyBorder="1" applyAlignment="1">
      <x:alignment vertical="center"/>
    </x:xf>
    <x:xf numFmtId="0" fontId="36" fillId="0" borderId="0" xfId="0" applyNumberFormat="1" applyFont="1" applyFill="1" applyBorder="1"/>
    <x:xf numFmtId="0" fontId="37" fillId="0" borderId="0" xfId="0" applyNumberFormat="1" applyFont="1" applyFill="1" applyBorder="1" applyAlignment="1">
      <x:alignment vertical="center"/>
    </x:xf>
    <x:xf numFmtId="1" fontId="37" fillId="0" borderId="0" xfId="0" applyNumberFormat="1" applyFont="1" applyFill="1" applyBorder="1" applyAlignment="1">
      <x:alignment vertical="center" wrapText="1"/>
    </x:xf>
    <x:xf numFmtId="0" fontId="34" fillId="3" borderId="0" xfId="0" applyNumberFormat="1" applyFont="1" applyFill="1" applyBorder="1"/>
    <x:xf numFmtId="9" fontId="34" fillId="3" borderId="0" xfId="0" applyNumberFormat="1" applyFont="1" applyFill="1" applyBorder="1"/>
    <x:xf numFmtId="0" fontId="34" fillId="2" borderId="0" xfId="0" applyNumberFormat="1" applyFont="1" applyFill="1" applyBorder="1"/>
    <x:xf numFmtId="9" fontId="34" fillId="2" borderId="0" xfId="0" applyNumberFormat="1" applyFont="1" applyFill="1" applyBorder="1"/>
    <x:xf numFmtId="0" fontId="34" fillId="4" borderId="0" xfId="0" applyNumberFormat="1" applyFont="1" applyFill="1" applyBorder="1"/>
    <x:xf numFmtId="1" fontId="34" fillId="4" borderId="0" xfId="0" applyNumberFormat="1" applyFont="1" applyFill="1" applyBorder="1"/>
    <x:xf numFmtId="10" fontId="34" fillId="4" borderId="0" xfId="0" applyNumberFormat="1" applyFont="1" applyFill="1" applyBorder="1"/>
    <x:xf numFmtId="176" fontId="34" fillId="4" borderId="0" xfId="0" applyNumberFormat="1" applyFont="1" applyFill="1" applyBorder="1"/>
    <x:xf numFmtId="0" fontId="38" fillId="0" borderId="0" xfId="0" applyNumberFormat="1" applyFont="1" applyFill="1" applyBorder="1" applyAlignment="1">
      <x:alignment wrapText="1"/>
    </x:xf>
    <x:xf numFmtId="1" fontId="38" fillId="0" borderId="0" xfId="0" applyNumberFormat="1" applyFont="1" applyFill="1" applyBorder="1"/>
    <x:xf numFmtId="10" fontId="38" fillId="0" borderId="0" xfId="0" applyNumberFormat="1" applyFont="1" applyFill="1" applyBorder="1"/>
    <x:xf numFmtId="176" fontId="38" fillId="0" borderId="0" xfId="0" applyNumberFormat="1" applyFont="1" applyFill="1" applyBorder="1"/>
    <x:xf numFmtId="0" fontId="39" fillId="2" borderId="0" xfId="0" applyNumberFormat="1" applyFont="1" applyFill="1" applyBorder="1" applyAlignment="1">
      <x:alignment vertical="center"/>
    </x:xf>
    <x:xf numFmtId="0" fontId="39" fillId="2" borderId="4" xfId="0" applyNumberFormat="1" applyFont="1" applyFill="1" applyBorder="1" applyAlignment="1">
      <x:alignment vertical="center"/>
    </x:xf>
    <x:xf numFmtId="0" fontId="35" fillId="0" borderId="4" xfId="0" applyNumberFormat="1" applyFont="1" applyFill="1" applyBorder="1"/>
    <x:xf numFmtId="9" fontId="35" fillId="0" borderId="4" xfId="0" applyNumberFormat="1" applyFont="1" applyFill="1" applyBorder="1"/>
    <x:xf numFmtId="0" fontId="35" fillId="0" borderId="4" xfId="0" applyNumberFormat="1" applyFont="1" applyFill="1" applyBorder="1" applyAlignment="1">
      <x:alignment vertical="center"/>
    </x:xf>
    <x:xf numFmtId="9" fontId="35" fillId="0" borderId="4" xfId="0" applyNumberFormat="1" applyFont="1" applyFill="1" applyBorder="1" applyAlignment="1">
      <x:alignment vertical="center"/>
    </x:xf>
    <x:xf numFmtId="0" fontId="35" fillId="0" borderId="0" xfId="0" applyNumberFormat="1" applyFont="1" applyFill="1" applyBorder="1" applyAlignment="1">
      <x:alignment vertical="center"/>
    </x:xf>
    <x:xf numFmtId="9" fontId="35" fillId="0" borderId="0" xfId="0" applyNumberFormat="1" applyFont="1" applyFill="1" applyBorder="1" applyAlignment="1">
      <x:alignment vertical="center"/>
    </x:xf>
    <x:xf numFmtId="9" fontId="36" fillId="0" borderId="0" xfId="0" applyNumberFormat="1" applyFont="1" applyFill="1" applyBorder="1" applyAlignment="1">
      <x:alignment vertical="center"/>
    </x:xf>
    <x:xf numFmtId="0" fontId="34" fillId="0" borderId="0" xfId="0" applyNumberFormat="1" applyFont="1" applyFill="1" applyBorder="1" applyAlignment="1">
      <x:alignment vertical="center"/>
    </x:xf>
    <x:xf numFmtId="9" fontId="34" fillId="0" borderId="0" xfId="0" applyNumberFormat="1" applyFont="1" applyFill="1" applyBorder="1" applyAlignment="1">
      <x:alignment vertical="center"/>
    </x:xf>
    <x:xf numFmtId="176" fontId="35" fillId="0" borderId="0" xfId="0" applyNumberFormat="1" applyFont="1" applyFill="1" applyBorder="1" applyAlignment="1">
      <x:alignment vertical="center"/>
    </x:xf>
    <x:xf numFmtId="0" fontId="34" fillId="3" borderId="0" xfId="0" applyNumberFormat="1" applyFont="1" applyFill="1" applyBorder="1" applyAlignment="1">
      <x:alignment vertical="center"/>
    </x:xf>
    <x:xf numFmtId="9" fontId="34" fillId="3" borderId="0" xfId="0" applyNumberFormat="1" applyFont="1" applyFill="1" applyBorder="1" applyAlignment="1">
      <x:alignment vertical="center"/>
    </x:xf>
    <x:xf numFmtId="9" fontId="34" fillId="2" borderId="0" xfId="0" applyNumberFormat="1" applyFont="1" applyFill="1" applyBorder="1" applyAlignment="1">
      <x:alignment vertical="center"/>
    </x:xf>
    <x:xf numFmtId="0" fontId="34" fillId="4" borderId="0" xfId="0" applyNumberFormat="1" applyFont="1" applyFill="1" applyBorder="1" applyAlignment="1">
      <x:alignment vertical="center"/>
    </x:xf>
    <x:xf numFmtId="1" fontId="34" fillId="4" borderId="0" xfId="0" applyNumberFormat="1" applyFont="1" applyFill="1" applyBorder="1" applyAlignment="1">
      <x:alignment vertical="center"/>
    </x:xf>
    <x:xf numFmtId="10" fontId="34" fillId="4" borderId="0" xfId="0" applyNumberFormat="1" applyFont="1" applyFill="1" applyBorder="1" applyAlignment="1">
      <x:alignment vertical="center"/>
    </x:xf>
    <x:xf numFmtId="176" fontId="34" fillId="4" borderId="0" xfId="0" applyNumberFormat="1" applyFont="1" applyFill="1" applyBorder="1" applyAlignment="1">
      <x:alignment vertical="center"/>
    </x:xf>
    <x:xf numFmtId="0" fontId="38" fillId="0" borderId="0" xfId="0" applyNumberFormat="1" applyFont="1" applyFill="1" applyBorder="1" applyAlignment="1">
      <x:alignment vertical="center" wrapText="1"/>
    </x:xf>
    <x:xf numFmtId="1" fontId="38" fillId="0" borderId="0" xfId="0" applyNumberFormat="1" applyFont="1" applyFill="1" applyBorder="1" applyAlignment="1">
      <x:alignment vertical="center"/>
    </x:xf>
    <x:xf numFmtId="10" fontId="38" fillId="0" borderId="0" xfId="0" applyNumberFormat="1" applyFont="1" applyFill="1" applyBorder="1" applyAlignment="1">
      <x:alignment vertical="center"/>
    </x:xf>
    <x:xf numFmtId="176" fontId="38" fillId="0" borderId="0" xfId="0" applyNumberFormat="1" applyFont="1" applyFill="1" applyBorder="1" applyAlignment="1">
      <x:alignment vertical="center"/>
    </x:xf>
    <x:xf numFmtId="200" fontId="34" fillId="0" borderId="0" xfId="0" applyNumberFormat="1" applyFont="1" applyFill="1" applyBorder="1" applyAlignment="1">
      <x:alignment vertical="center"/>
    </x:xf>
    <x:xf numFmtId="200" fontId="36" fillId="0" borderId="0" xfId="0" applyNumberFormat="1" applyFont="1" applyFill="1" applyBorder="1" applyAlignment="1">
      <x:alignment vertical="center"/>
    </x:xf>
    <x:xf numFmtId="200" fontId="37" fillId="0" borderId="0" xfId="0" applyNumberFormat="1" applyFont="1" applyFill="1" applyBorder="1" applyAlignment="1">
      <x:alignment vertical="center" wrapText="1"/>
    </x:xf>
    <x:xf numFmtId="200" fontId="35" fillId="0" borderId="0" xfId="0" applyNumberFormat="1" applyFont="1" applyFill="1" applyBorder="1" applyAlignment="1">
      <x:alignment vertical="center"/>
    </x:xf>
    <x:xf numFmtId="200" fontId="34" fillId="3" borderId="0" xfId="0" applyNumberFormat="1" applyFont="1" applyFill="1" applyBorder="1" applyAlignment="1">
      <x:alignment vertical="center"/>
    </x:xf>
    <x:xf numFmtId="200" fontId="34" fillId="2" borderId="0" xfId="0" applyNumberFormat="1" applyFont="1" applyFill="1" applyBorder="1" applyAlignment="1">
      <x:alignment vertical="center"/>
    </x:xf>
    <x:xf numFmtId="200" fontId="34" fillId="4" borderId="0" xfId="0" applyNumberFormat="1" applyFont="1" applyFill="1" applyBorder="1" applyAlignment="1">
      <x:alignment vertical="center"/>
    </x:xf>
    <x:xf numFmtId="200" fontId="38" fillId="0" borderId="0" xfId="0" applyNumberFormat="1" applyFont="1" applyFill="1" applyBorder="1" applyAlignment="1">
      <x:alignment vertical="center"/>
    </x:xf>
    <x:xf numFmtId="176" fontId="34" fillId="0" borderId="0" xfId="0" applyNumberFormat="1" applyFont="1" applyFill="1" applyBorder="1" applyAlignment="1">
      <x:alignment vertical="center"/>
    </x:xf>
    <x:xf numFmtId="176" fontId="36" fillId="0" borderId="0" xfId="0" applyNumberFormat="1" applyFont="1" applyFill="1" applyBorder="1" applyAlignment="1">
      <x:alignment vertical="center"/>
    </x:xf>
    <x:xf numFmtId="176" fontId="34" fillId="3" borderId="0" xfId="0" applyNumberFormat="1" applyFont="1" applyFill="1" applyBorder="1" applyAlignment="1">
      <x:alignment vertical="center"/>
    </x:xf>
    <x:xf numFmtId="176" fontId="34" fillId="2" borderId="0" xfId="0" applyNumberFormat="1" applyFont="1" applyFill="1" applyBorder="1" applyAlignment="1">
      <x:alignment vertical="center"/>
    </x:xf>
    <x:xf numFmtId="0" fontId="36" fillId="13" borderId="0" xfId="0" applyNumberFormat="1" applyFont="1" applyFill="1" applyBorder="1" applyAlignment="1">
      <x:alignment vertical="center"/>
    </x:xf>
    <x:xf numFmtId="0" fontId="35" fillId="13" borderId="0" xfId="0" applyNumberFormat="1" applyFont="1" applyFill="1" applyBorder="1" applyAlignment="1">
      <x:alignment vertical="center"/>
    </x:xf>
    <x:xf numFmtId="9" fontId="35" fillId="13" borderId="0" xfId="0" applyNumberFormat="1" applyFont="1" applyFill="1" applyBorder="1" applyAlignment="1">
      <x:alignment vertical="center"/>
    </x:xf>
    <x:xf numFmtId="9" fontId="36" fillId="13" borderId="0" xfId="0" applyNumberFormat="1" applyFont="1" applyFill="1" applyBorder="1" applyAlignment="1">
      <x:alignment vertical="center"/>
    </x:xf>
    <x:xf numFmtId="0" fontId="30" fillId="13" borderId="0" xfId="0" applyNumberFormat="1" applyFont="1" applyFill="1" applyBorder="1" applyAlignment="1">
      <x:alignment vertical="center"/>
    </x:xf>
    <x:xf numFmtId="0" fontId="40" fillId="13" borderId="0" xfId="0" applyNumberFormat="1" applyFont="1" applyFill="1" applyBorder="1" applyAlignment="1">
      <x:alignment vertical="center"/>
    </x:xf>
    <x:xf numFmtId="9" fontId="40" fillId="13" borderId="0" xfId="0" applyNumberFormat="1" applyFont="1" applyFill="1" applyBorder="1" applyAlignment="1">
      <x:alignment vertical="center"/>
    </x:xf>
    <x:xf numFmtId="9" fontId="30" fillId="13" borderId="0" xfId="0" applyNumberFormat="1" applyFont="1" applyFill="1" applyBorder="1" applyAlignment="1">
      <x:alignment vertical="center"/>
    </x:xf>
    <x:xf numFmtId="0" fontId="36" fillId="14" borderId="0" xfId="0" applyNumberFormat="1" applyFont="1" applyFill="1" applyBorder="1" applyAlignment="1">
      <x:alignment vertical="center"/>
    </x:xf>
    <x:xf numFmtId="200" fontId="34" fillId="14" borderId="0" xfId="0" applyNumberFormat="1" applyFont="1" applyFill="1" applyBorder="1" applyAlignment="1">
      <x:alignment vertical="center"/>
    </x:xf>
    <x:xf numFmtId="176" fontId="34" fillId="14" borderId="0" xfId="0" applyNumberFormat="1" applyFont="1" applyFill="1" applyBorder="1" applyAlignment="1">
      <x:alignment vertical="center"/>
    </x:xf>
    <x:xf numFmtId="176" fontId="35" fillId="14" borderId="0" xfId="0" applyNumberFormat="1" applyFont="1" applyFill="1" applyBorder="1" applyAlignment="1">
      <x:alignment vertical="center"/>
    </x:xf>
    <x:xf numFmtId="0" fontId="41" fillId="14" borderId="0" xfId="0" applyNumberFormat="1" applyFont="1" applyFill="1" applyBorder="1" applyAlignment="1">
      <x:alignment vertical="center"/>
    </x:xf>
    <x:xf numFmtId="200" fontId="42" fillId="14" borderId="0" xfId="0" applyNumberFormat="1" applyFont="1" applyFill="1" applyBorder="1" applyAlignment="1">
      <x:alignment vertical="center"/>
    </x:xf>
    <x:xf numFmtId="176" fontId="42" fillId="14" borderId="0" xfId="0" applyNumberFormat="1" applyFont="1" applyFill="1" applyBorder="1" applyAlignment="1">
      <x:alignment vertical="center"/>
    </x:xf>
    <x:xf numFmtId="176" fontId="43" fillId="14" borderId="0" xfId="0" applyNumberFormat="1" applyFont="1" applyFill="1" applyBorder="1" applyAlignment="1">
      <x:alignment vertical="center"/>
    </x:xf>
    <x:xf numFmtId="0" fontId="36" fillId="15" borderId="0" xfId="0" applyNumberFormat="1" applyFont="1" applyFill="1" applyBorder="1" applyAlignment="1">
      <x:alignment vertical="center"/>
    </x:xf>
    <x:xf numFmtId="200" fontId="36" fillId="15" borderId="0" xfId="0" applyNumberFormat="1" applyFont="1" applyFill="1" applyBorder="1" applyAlignment="1">
      <x:alignment vertical="center"/>
    </x:xf>
    <x:xf numFmtId="176" fontId="36" fillId="15" borderId="0" xfId="0" applyNumberFormat="1" applyFont="1" applyFill="1" applyBorder="1" applyAlignment="1">
      <x:alignment vertical="center"/>
    </x:xf>
    <x:xf numFmtId="176" fontId="35" fillId="15" borderId="0" xfId="0" applyNumberFormat="1" applyFont="1" applyFill="1" applyBorder="1" applyAlignment="1">
      <x:alignment vertical="center"/>
    </x:xf>
    <x:xf numFmtId="0" fontId="44" fillId="15" borderId="0" xfId="0" applyNumberFormat="1" applyFont="1" applyFill="1" applyBorder="1" applyAlignment="1">
      <x:alignment vertical="center"/>
    </x:xf>
    <x:xf numFmtId="200" fontId="44" fillId="15" borderId="0" xfId="0" applyNumberFormat="1" applyFont="1" applyFill="1" applyBorder="1" applyAlignment="1">
      <x:alignment vertical="center"/>
    </x:xf>
    <x:xf numFmtId="176" fontId="44" fillId="15" borderId="0" xfId="0" applyNumberFormat="1" applyFont="1" applyFill="1" applyBorder="1" applyAlignment="1">
      <x:alignment vertical="center"/>
    </x:xf>
    <x:xf numFmtId="176" fontId="45" fillId="15" borderId="0" xfId="0" applyNumberFormat="1" applyFont="1" applyFill="1" applyBorder="1" applyAlignment="1">
      <x:alignment vertical="center"/>
    </x:xf>
    <x:xf numFmtId="0" fontId="37" fillId="0" borderId="5" xfId="0" applyNumberFormat="1" applyFont="1" applyFill="1" applyBorder="1" applyAlignment="1">
      <x:alignment vertical="center"/>
    </x:xf>
    <x:xf numFmtId="200" fontId="37" fillId="0" borderId="5" xfId="0" applyNumberFormat="1" applyFont="1" applyFill="1" applyBorder="1" applyAlignment="1">
      <x:alignment vertical="center" wrapText="1"/>
    </x:xf>
    <x:xf numFmtId="176" fontId="35" fillId="0" borderId="5" xfId="0" applyNumberFormat="1" applyFont="1" applyFill="1" applyBorder="1" applyAlignment="1">
      <x:alignment vertical="center"/>
    </x:xf>
    <x:xf numFmtId="0" fontId="37" fillId="16" borderId="0" xfId="0" applyNumberFormat="1" applyFont="1" applyFill="1" applyBorder="1" applyAlignment="1">
      <x:alignment vertical="center"/>
    </x:xf>
    <x:xf numFmtId="200" fontId="37" fillId="16" borderId="0" xfId="0" applyNumberFormat="1" applyFont="1" applyFill="1" applyBorder="1" applyAlignment="1">
      <x:alignment vertical="center" wrapText="1"/>
    </x:xf>
    <x:xf numFmtId="176" fontId="35" fillId="16" borderId="0" xfId="0" applyNumberFormat="1" applyFont="1" applyFill="1" applyBorder="1" applyAlignment="1">
      <x:alignment vertical="center"/>
    </x:xf>
    <x:xf numFmtId="0" fontId="37" fillId="16" borderId="5" xfId="0" applyNumberFormat="1" applyFont="1" applyFill="1" applyBorder="1" applyAlignment="1">
      <x:alignment vertical="center"/>
    </x:xf>
    <x:xf numFmtId="200" fontId="37" fillId="16" borderId="5" xfId="0" applyNumberFormat="1" applyFont="1" applyFill="1" applyBorder="1" applyAlignment="1">
      <x:alignment vertical="center" wrapText="1"/>
    </x:xf>
    <x:xf numFmtId="176" fontId="35" fillId="16" borderId="5" xfId="0" applyNumberFormat="1" applyFont="1" applyFill="1" applyBorder="1" applyAlignment="1">
      <x:alignment vertical="center"/>
    </x:xf>
    <x:xf numFmtId="200" fontId="35" fillId="0" borderId="5" xfId="0" applyNumberFormat="1" applyFont="1" applyFill="1" applyBorder="1" applyAlignment="1">
      <x:alignment vertical="center"/>
    </x:xf>
    <x:xf numFmtId="200" fontId="35" fillId="16" borderId="0" xfId="0" applyNumberFormat="1" applyFont="1" applyFill="1" applyBorder="1" applyAlignment="1">
      <x:alignment vertical="center"/>
    </x:xf>
    <x:xf numFmtId="200" fontId="35" fillId="16" borderId="5" xfId="0" applyNumberFormat="1" applyFont="1" applyFill="1" applyBorder="1" applyAlignment="1">
      <x:alignment vertical="center"/>
    </x:xf>
    <x:xf numFmtId="200" fontId="36" fillId="14" borderId="0" xfId="0" applyNumberFormat="1" applyFont="1" applyFill="1" applyBorder="1" applyAlignment="1">
      <x:alignment vertical="center"/>
    </x:xf>
    <x:xf numFmtId="176" fontId="36" fillId="14" borderId="0" xfId="0" applyNumberFormat="1" applyFont="1" applyFill="1" applyBorder="1" applyAlignment="1">
      <x:alignment vertical="center"/>
    </x:xf>
    <x:xf numFmtId="200" fontId="41" fillId="14" borderId="0" xfId="0" applyNumberFormat="1" applyFont="1" applyFill="1" applyBorder="1" applyAlignment="1">
      <x:alignment vertical="center"/>
    </x:xf>
    <x:xf numFmtId="176" fontId="41" fillId="14" borderId="0" xfId="0" applyNumberFormat="1" applyFont="1" applyFill="1" applyBorder="1" applyAlignment="1">
      <x:alignment vertical="center"/>
    </x:xf>
    <x:xf numFmtId="200" fontId="35" fillId="13" borderId="0" xfId="0" applyNumberFormat="1" applyFont="1" applyFill="1" applyBorder="1" applyAlignment="1">
      <x:alignment vertical="center"/>
    </x:xf>
    <x:xf numFmtId="176" fontId="35" fillId="13" borderId="0" xfId="0" applyNumberFormat="1" applyFont="1" applyFill="1" applyBorder="1" applyAlignment="1">
      <x:alignment vertical="center"/>
    </x:xf>
    <x:xf numFmtId="176" fontId="36" fillId="13" borderId="0" xfId="0" applyNumberFormat="1" applyFont="1" applyFill="1" applyBorder="1" applyAlignment="1">
      <x:alignment vertical="center"/>
    </x:xf>
    <x:xf numFmtId="200" fontId="40" fillId="13" borderId="0" xfId="0" applyNumberFormat="1" applyFont="1" applyFill="1" applyBorder="1" applyAlignment="1">
      <x:alignment vertical="center"/>
    </x:xf>
    <x:xf numFmtId="176" fontId="40" fillId="13" borderId="0" xfId="0" applyNumberFormat="1" applyFont="1" applyFill="1" applyBorder="1" applyAlignment="1">
      <x:alignment vertical="center"/>
    </x:xf>
    <x:xf numFmtId="176" fontId="30" fillId="13" borderId="0" xfId="0" applyNumberFormat="1" applyFont="1" applyFill="1" applyBorder="1" applyAlignment="1">
      <x:alignment vertical="center"/>
    </x:xf>
    <x:xf numFmtId="0" fontId="34" fillId="13" borderId="0" xfId="0" applyNumberFormat="1" applyFont="1" applyFill="1" applyBorder="1" applyAlignment="1">
      <x:alignment vertical="center"/>
    </x:xf>
    <x:xf numFmtId="200" fontId="34" fillId="13" borderId="0" xfId="0" applyNumberFormat="1" applyFont="1" applyFill="1" applyBorder="1" applyAlignment="1">
      <x:alignment vertical="center"/>
    </x:xf>
    <x:xf numFmtId="176" fontId="34" fillId="13" borderId="0" xfId="0" applyNumberFormat="1" applyFont="1" applyFill="1" applyBorder="1" applyAlignment="1">
      <x:alignment vertical="center"/>
    </x:xf>
    <x:xf numFmtId="0" fontId="27" fillId="13" borderId="0" xfId="0" applyNumberFormat="1" applyFont="1" applyFill="1" applyBorder="1" applyAlignment="1">
      <x:alignment vertical="center"/>
    </x:xf>
    <x:xf numFmtId="200" fontId="27" fillId="13" borderId="0" xfId="0" applyNumberFormat="1" applyFont="1" applyFill="1" applyBorder="1" applyAlignment="1">
      <x:alignment vertical="center"/>
    </x:xf>
    <x:xf numFmtId="176" fontId="27" fillId="13" borderId="0" xfId="0" applyNumberFormat="1" applyFont="1" applyFill="1" applyBorder="1" applyAlignment="1">
      <x:alignment vertical="center"/>
    </x:xf>
    <x:xf numFmtId="0" fontId="34" fillId="14" borderId="0" xfId="0" applyNumberFormat="1" applyFont="1" applyFill="1" applyBorder="1" applyAlignment="1">
      <x:alignment vertical="center"/>
    </x:xf>
    <x:xf numFmtId="0" fontId="42" fillId="14" borderId="0" xfId="0" applyNumberFormat="1" applyFont="1" applyFill="1" applyBorder="1" applyAlignment="1">
      <x:alignment vertical="center"/>
    </x:xf>
    <x:xf numFmtId="0" fontId="38" fillId="0" borderId="5" xfId="0" applyNumberFormat="1" applyFont="1" applyFill="1" applyBorder="1" applyAlignment="1">
      <x:alignment vertical="center" wrapText="1"/>
    </x:xf>
    <x:xf numFmtId="200" fontId="38" fillId="0" borderId="5" xfId="0" applyNumberFormat="1" applyFont="1" applyFill="1" applyBorder="1" applyAlignment="1">
      <x:alignment vertical="center"/>
    </x:xf>
    <x:xf numFmtId="176" fontId="38" fillId="0" borderId="5" xfId="0" applyNumberFormat="1" applyFont="1" applyFill="1" applyBorder="1" applyAlignment="1">
      <x:alignment vertical="center"/>
    </x:xf>
    <x:xf numFmtId="0" fontId="38" fillId="16" borderId="0" xfId="0" applyNumberFormat="1" applyFont="1" applyFill="1" applyBorder="1" applyAlignment="1">
      <x:alignment vertical="center" wrapText="1"/>
    </x:xf>
    <x:xf numFmtId="200" fontId="38" fillId="16" borderId="0" xfId="0" applyNumberFormat="1" applyFont="1" applyFill="1" applyBorder="1" applyAlignment="1">
      <x:alignment vertical="center"/>
    </x:xf>
    <x:xf numFmtId="176" fontId="38" fillId="16" borderId="0" xfId="0" applyNumberFormat="1" applyFont="1" applyFill="1" applyBorder="1" applyAlignment="1">
      <x:alignment vertical="center"/>
    </x:xf>
    <x:xf numFmtId="0" fontId="38" fillId="16" borderId="5" xfId="0" applyNumberFormat="1" applyFont="1" applyFill="1" applyBorder="1" applyAlignment="1">
      <x:alignment vertical="center" wrapText="1"/>
    </x:xf>
    <x:xf numFmtId="200" fontId="38" fillId="16" borderId="5" xfId="0" applyNumberFormat="1" applyFont="1" applyFill="1" applyBorder="1" applyAlignment="1">
      <x:alignment vertical="center"/>
    </x:xf>
    <x:xf numFmtId="176" fontId="38" fillId="16" borderId="5" xfId="0" applyNumberFormat="1" applyFont="1" applyFill="1" applyBorder="1" applyAlignment="1">
      <x:alignment vertical="center"/>
    </x:xf>
    <x:xf numFmtId="0" fontId="38" fillId="0" borderId="1" xfId="0" applyNumberFormat="1" applyFont="1" applyFill="1" applyBorder="1" applyAlignment="1">
      <x:alignment horizontal="center"/>
    </x:xf>
    <x:xf numFmtId="0" fontId="36" fillId="4" borderId="1" xfId="0" applyNumberFormat="1" applyFont="1" applyFill="1" applyBorder="1" applyAlignment="1">
      <x:alignment horizontal="center" vertical="center"/>
    </x:xf>
    <x:xf numFmtId="0" fontId="35" fillId="0" borderId="1" xfId="0" applyNumberFormat="1" applyFont="1" applyFill="1" applyBorder="1" applyAlignment="1">
      <x:alignment horizontal="center"/>
    </x:xf>
    <x:xf numFmtId="9" fontId="35" fillId="0" borderId="1" xfId="0" applyNumberFormat="1" applyFont="1" applyFill="1" applyBorder="1" applyAlignment="1">
      <x:alignment horizontal="center"/>
    </x:xf>
    <x:xf numFmtId="0" fontId="36" fillId="5" borderId="2" xfId="0" applyNumberFormat="1" applyFont="1" applyFill="1" applyBorder="1" applyAlignment="1">
      <x:alignment horizontal="center"/>
    </x:xf>
    <x:xf numFmtId="0" fontId="34" fillId="5" borderId="1" xfId="0" applyNumberFormat="1" applyFont="1" applyFill="1" applyBorder="1" applyAlignment="1">
      <x:alignment horizontal="center"/>
    </x:xf>
    <x:xf numFmtId="0" fontId="36" fillId="5" borderId="1" xfId="0" applyNumberFormat="1" applyFont="1" applyFill="1" applyBorder="1" applyAlignment="1">
      <x:alignment horizontal="center"/>
    </x:xf>
    <x:xf numFmtId="0" fontId="35" fillId="0" borderId="3" xfId="0" applyNumberFormat="1" applyFont="1" applyFill="1" applyBorder="1" applyAlignment="1">
      <x:alignment horizontal="center"/>
    </x:xf>
    <x:xf numFmtId="0" fontId="38" fillId="0" borderId="1" xfId="0" applyNumberFormat="1" applyFont="1" applyFill="1" applyBorder="1"/>
    <x:xf numFmtId="0" fontId="35" fillId="0" borderId="1" xfId="0" applyNumberFormat="1" applyFont="1" applyFill="1" applyBorder="1"/>
    <x:xf numFmtId="9" fontId="35" fillId="0" borderId="1" xfId="0" applyNumberFormat="1" applyFont="1" applyFill="1" applyBorder="1"/>
    <x:xf numFmtId="0" fontId="38" fillId="0" borderId="0" xfId="0" applyNumberFormat="1" applyFont="1" applyFill="1" applyBorder="1"/>
    <x:xf numFmtId="0" fontId="38" fillId="17" borderId="1" xfId="0" applyNumberFormat="1" applyFont="1" applyFill="1" applyBorder="1" applyAlignment="1">
      <x:alignment horizontal="center"/>
    </x:xf>
    <x:xf numFmtId="0" fontId="35" fillId="17" borderId="0" xfId="0" applyNumberFormat="1" applyFont="1" applyFill="1" applyBorder="1"/>
    <x:xf numFmtId="0" fontId="46" fillId="17" borderId="1" xfId="0" applyNumberFormat="1" applyFont="1" applyFill="1" applyBorder="1" applyAlignment="1">
      <x:alignment horizontal="center"/>
    </x:xf>
    <x:xf numFmtId="0" fontId="47" fillId="17" borderId="0" xfId="0" applyNumberFormat="1" applyFont="1" applyFill="1" applyBorder="1"/>
    <x:xf numFmtId="0" fontId="46" fillId="17" borderId="1" xfId="0" applyNumberFormat="1" applyFont="1" applyFill="1" applyBorder="1" applyAlignment="1">
      <x:alignment horizontal="center" vertical="center"/>
    </x:xf>
    <x:xf numFmtId="0" fontId="47" fillId="17" borderId="0" xfId="0" applyNumberFormat="1" applyFont="1" applyFill="1" applyBorder="1" applyAlignment="1">
      <x:alignment vertical="center"/>
    </x:xf>
    <x:xf numFmtId="0" fontId="35" fillId="0" borderId="1" xfId="0" applyNumberFormat="1" applyFont="1" applyFill="1" applyBorder="1" applyAlignment="1">
      <x:alignment horizontal="center" vertical="center"/>
    </x:xf>
    <x:xf numFmtId="9" fontId="35" fillId="0" borderId="1" xfId="0" applyNumberFormat="1" applyFont="1" applyFill="1" applyBorder="1" applyAlignment="1">
      <x:alignment horizontal="center" vertical="center"/>
    </x:xf>
    <x:xf numFmtId="0" fontId="38" fillId="0" borderId="1" xfId="0" applyNumberFormat="1" applyFont="1" applyFill="1" applyBorder="1" applyAlignment="1">
      <x:alignment horizontal="center" vertical="center"/>
    </x:xf>
    <x:xf numFmtId="0" fontId="36" fillId="5" borderId="2" xfId="0" applyNumberFormat="1" applyFont="1" applyFill="1" applyBorder="1" applyAlignment="1">
      <x:alignment horizontal="center" vertical="center"/>
    </x:xf>
    <x:xf numFmtId="0" fontId="34" fillId="5" borderId="1" xfId="0" applyNumberFormat="1" applyFont="1" applyFill="1" applyBorder="1" applyAlignment="1">
      <x:alignment horizontal="center" vertical="center"/>
    </x:xf>
    <x:xf numFmtId="0" fontId="36" fillId="5" borderId="1" xfId="0" applyNumberFormat="1" applyFont="1" applyFill="1" applyBorder="1" applyAlignment="1">
      <x:alignment horizontal="center" vertical="center"/>
    </x:xf>
    <x:xf numFmtId="0" fontId="35" fillId="0" borderId="3" xfId="0" applyNumberFormat="1" applyFont="1" applyFill="1" applyBorder="1" applyAlignment="1">
      <x:alignment horizontal="center" vertical="center"/>
    </x:xf>
    <x:xf numFmtId="0" fontId="38" fillId="0" borderId="1" xfId="0" applyNumberFormat="1" applyFont="1" applyFill="1" applyBorder="1" applyAlignment="1">
      <x:alignment vertical="center"/>
    </x:xf>
    <x:xf numFmtId="0" fontId="35" fillId="0" borderId="1" xfId="0" applyNumberFormat="1" applyFont="1" applyFill="1" applyBorder="1" applyAlignment="1">
      <x:alignment vertical="center"/>
    </x:xf>
    <x:xf numFmtId="9" fontId="35" fillId="0" borderId="1" xfId="0" applyNumberFormat="1" applyFont="1" applyFill="1" applyBorder="1" applyAlignment="1">
      <x:alignment vertical="center"/>
    </x:xf>
    <x:xf numFmtId="0" fontId="38" fillId="0" borderId="0" xfId="0" applyNumberFormat="1" applyFont="1" applyFill="1" applyBorder="1" applyAlignment="1">
      <x:alignment vertical="center"/>
    </x:xf>
    <x:xf numFmtId="201" fontId="46" fillId="17" borderId="1" xfId="0" applyNumberFormat="1" applyFont="1" applyFill="1" applyBorder="1" applyAlignment="1">
      <x:alignment horizontal="center" vertical="center"/>
    </x:xf>
    <x:xf numFmtId="201" fontId="35" fillId="0" borderId="1" xfId="0" applyNumberFormat="1" applyFont="1" applyFill="1" applyBorder="1" applyAlignment="1">
      <x:alignment horizontal="center" vertical="center"/>
    </x:xf>
    <x:xf numFmtId="201" fontId="35" fillId="0" borderId="0" xfId="0" applyNumberFormat="1" applyFont="1" applyFill="1" applyBorder="1" applyAlignment="1">
      <x:alignment vertical="center"/>
    </x:xf>
    <x:xf numFmtId="201" fontId="38" fillId="0" borderId="1" xfId="0" applyNumberFormat="1" applyFont="1" applyFill="1" applyBorder="1" applyAlignment="1">
      <x:alignment horizontal="center" vertical="center"/>
    </x:xf>
    <x:xf numFmtId="201" fontId="34" fillId="5" borderId="1" xfId="0" applyNumberFormat="1" applyFont="1" applyFill="1" applyBorder="1" applyAlignment="1">
      <x:alignment horizontal="center" vertical="center"/>
    </x:xf>
    <x:xf numFmtId="201" fontId="35" fillId="0" borderId="1" xfId="0" applyNumberFormat="1" applyFont="1" applyFill="1" applyBorder="1" applyAlignment="1">
      <x:alignment vertical="center"/>
    </x:xf>
    <x:xf numFmtId="201" fontId="47" fillId="17" borderId="0" xfId="0" applyNumberFormat="1" applyFont="1" applyFill="1" applyBorder="1" applyAlignment="1">
      <x:alignment vertical="center"/>
    </x:xf>
    <x:xf numFmtId="201" fontId="36" fillId="5" borderId="1" xfId="0" applyNumberFormat="1" applyFont="1" applyFill="1" applyBorder="1" applyAlignment="1">
      <x:alignment horizontal="center" vertical="center"/>
    </x:xf>
    <x:xf numFmtId="0" fontId="38" fillId="0" borderId="0" xfId="0" applyNumberFormat="1" applyFont="1" applyFill="1" applyBorder="1" applyAlignment="1">
      <x:alignment horizontal="center"/>
    </x:xf>
    <x:xf numFmtId="9" fontId="38" fillId="0" borderId="0" xfId="0" applyNumberFormat="1" applyFont="1" applyFill="1" applyBorder="1" applyAlignment="1">
      <x:alignment horizontal="center"/>
    </x:xf>
    <x:xf numFmtId="9" fontId="37" fillId="0" borderId="0" xfId="0" applyNumberFormat="1" applyFont="1" applyFill="1" applyBorder="1"/>
    <x:xf numFmtId="202" fontId="38" fillId="0" borderId="0" xfId="0" applyNumberFormat="1" applyFont="1" applyFill="1" applyBorder="1" applyAlignment="1">
      <x:alignment horizontal="center"/>
    </x:xf>
    <x:xf numFmtId="202" fontId="37" fillId="0" borderId="0" xfId="0" applyNumberFormat="1" applyFont="1" applyFill="1" applyBorder="1"/>
    <x:xf numFmtId="202" fontId="35" fillId="0" borderId="0" xfId="0" applyNumberFormat="1" applyFont="1" applyFill="1" applyBorder="1"/>
    <x:xf numFmtId="0" fontId="38" fillId="18" borderId="0" xfId="0" applyNumberFormat="1" applyFont="1" applyFill="1" applyBorder="1" applyAlignment="1">
      <x:alignment horizontal="center"/>
    </x:xf>
    <x:xf numFmtId="202" fontId="38" fillId="18" borderId="0" xfId="0" applyNumberFormat="1" applyFont="1" applyFill="1" applyBorder="1" applyAlignment="1">
      <x:alignment horizontal="center"/>
    </x:xf>
    <x:xf numFmtId="0" fontId="35" fillId="19" borderId="0" xfId="0" applyNumberFormat="1" applyFont="1" applyFill="1" applyBorder="1"/>
    <x:xf numFmtId="202" fontId="35" fillId="19" borderId="0" xfId="0" applyNumberFormat="1" applyFont="1" applyFill="1" applyBorder="1"/>
    <x:xf numFmtId="0" fontId="48" fillId="19" borderId="0" xfId="0" applyNumberFormat="1" applyFont="1" applyFill="1" applyBorder="1"/>
    <x:xf numFmtId="202" fontId="48" fillId="19" borderId="0" xfId="0" applyNumberFormat="1" applyFont="1" applyFill="1" applyBorder="1"/>
    <x:xf numFmtId="0" fontId="36" fillId="7" borderId="0" xfId="0" applyNumberFormat="1" applyFont="1" applyFill="1" applyBorder="1" applyAlignment="1">
      <x:alignment horizontal="center" vertical="center"/>
    </x:xf>
    <x:xf numFmtId="0" fontId="36" fillId="7" borderId="0" xfId="0" applyNumberFormat="1" applyFont="1" applyFill="1" applyBorder="1" applyAlignment="1">
      <x:alignment vertical="center" wrapText="1"/>
    </x:xf>
    <x:xf numFmtId="1" fontId="36" fillId="7" borderId="0" xfId="0" applyNumberFormat="1" applyFont="1" applyFill="1" applyBorder="1" applyAlignment="1">
      <x:alignment vertical="center" wrapText="1"/>
    </x:xf>
    <x:xf numFmtId="0" fontId="36" fillId="8" borderId="0" xfId="0" applyNumberFormat="1" applyFont="1" applyFill="1" applyBorder="1" applyAlignment="1">
      <x:alignment vertical="center" wrapText="1"/>
    </x:xf>
    <x:xf numFmtId="1" fontId="36" fillId="8" borderId="0" xfId="0" applyNumberFormat="1" applyFont="1" applyFill="1" applyBorder="1" applyAlignment="1">
      <x:alignment vertical="center" wrapText="1"/>
    </x:xf>
    <x:xf numFmtId="0" fontId="36" fillId="9" borderId="0" xfId="0" applyNumberFormat="1" applyFont="1" applyFill="1" applyBorder="1" applyAlignment="1">
      <x:alignment vertical="center" wrapText="1"/>
    </x:xf>
    <x:xf numFmtId="1" fontId="36" fillId="9" borderId="0" xfId="0" applyNumberFormat="1" applyFont="1" applyFill="1" applyBorder="1" applyAlignment="1">
      <x:alignment vertical="center" wrapText="1"/>
    </x:xf>
    <x:xf numFmtId="0" fontId="37" fillId="0" borderId="0" xfId="0" applyNumberFormat="1" applyFont="1" applyFill="1" applyBorder="1" applyAlignment="1">
      <x:alignment vertical="center" wrapText="1"/>
    </x:xf>
    <x:xf numFmtId="0" fontId="37" fillId="0" borderId="0" xfId="0" applyNumberFormat="1" applyFont="1" applyFill="1" applyBorder="1"/>
    <x:xf numFmtId="0" fontId="36" fillId="3" borderId="0" xfId="0" applyNumberFormat="1" applyFont="1" applyFill="1" applyBorder="1"/>
    <x:xf numFmtId="1" fontId="36" fillId="3" borderId="0" xfId="0" applyNumberFormat="1" applyFont="1" applyFill="1" applyBorder="1"/>
    <x:xf numFmtId="0" fontId="36" fillId="4" borderId="0" xfId="0" applyNumberFormat="1" applyFont="1" applyFill="1" applyBorder="1"/>
    <x:xf numFmtId="1" fontId="36" fillId="4" borderId="0" xfId="0" applyNumberFormat="1" applyFont="1" applyFill="1" applyBorder="1"/>
    <x:xf numFmtId="0" fontId="37" fillId="0" borderId="0" xfId="0" applyNumberFormat="1" applyFont="1" applyFill="1" applyBorder="1" applyAlignment="1">
      <x:alignment wrapText="1"/>
    </x:xf>
    <x:xf numFmtId="1" fontId="37" fillId="0" borderId="0" xfId="0" applyNumberFormat="1" applyFont="1" applyFill="1" applyBorder="1"/>
    <x:xf numFmtId="1" fontId="36" fillId="3" borderId="0" xfId="0" applyNumberFormat="1" applyFont="1" applyFill="1" applyBorder="1" applyAlignment="1">
      <x:alignment vertical="center"/>
    </x:xf>
    <x:xf numFmtId="1" fontId="36" fillId="4" borderId="0" xfId="0" applyNumberFormat="1" applyFont="1" applyFill="1" applyBorder="1" applyAlignment="1">
      <x:alignment vertical="center"/>
    </x:xf>
    <x:xf numFmtId="1" fontId="37" fillId="0" borderId="0" xfId="0" applyNumberFormat="1" applyFont="1" applyFill="1" applyBorder="1" applyAlignment="1">
      <x:alignment vertical="center"/>
    </x:xf>
    <x:xf numFmtId="0" fontId="49" fillId="0" borderId="0" xfId="0" applyNumberFormat="1" applyFont="1" applyFill="1" applyBorder="1" applyAlignment="1">
      <x:alignment vertical="center"/>
    </x:xf>
    <x:xf numFmtId="0" fontId="50" fillId="0" borderId="0" xfId="0" applyNumberFormat="1" applyFont="1" applyFill="1" applyBorder="1" applyAlignment="1">
      <x:alignment vertical="center"/>
    </x:xf>
    <x:xf numFmtId="0" fontId="36" fillId="13" borderId="0" xfId="0" applyNumberFormat="1" applyFont="1" applyFill="1" applyBorder="1" applyAlignment="1">
      <x:alignment horizontal="center" vertical="center"/>
    </x:xf>
    <x:xf numFmtId="0" fontId="51" fillId="13" borderId="0" xfId="0" applyNumberFormat="1" applyFont="1" applyFill="1" applyBorder="1" applyAlignment="1">
      <x:alignment horizontal="center" vertical="center"/>
    </x:xf>
    <x:xf numFmtId="0" fontId="36" fillId="13" borderId="0" xfId="0" applyNumberFormat="1" applyFont="1" applyFill="1" applyBorder="1" applyAlignment="1">
      <x:alignment vertical="center" wrapText="1"/>
    </x:xf>
    <x:xf numFmtId="1" fontId="36" fillId="13" borderId="0" xfId="0" applyNumberFormat="1" applyFont="1" applyFill="1" applyBorder="1" applyAlignment="1">
      <x:alignment vertical="center" wrapText="1"/>
    </x:xf>
    <x:xf numFmtId="0" fontId="51" fillId="13" borderId="0" xfId="0" applyNumberFormat="1" applyFont="1" applyFill="1" applyBorder="1" applyAlignment="1">
      <x:alignment vertical="center" wrapText="1"/>
    </x:xf>
    <x:xf numFmtId="1" fontId="51" fillId="13" borderId="0" xfId="0" applyNumberFormat="1" applyFont="1" applyFill="1" applyBorder="1" applyAlignment="1">
      <x:alignment vertical="center" wrapText="1"/>
    </x:xf>
    <x:xf numFmtId="0" fontId="51" fillId="13" borderId="0" xfId="0" applyNumberFormat="1" applyFont="1" applyFill="1" applyBorder="1" applyAlignment="1">
      <x:alignment horizontal="center" vertical="center" wrapText="1"/>
    </x:xf>
    <x:xf numFmtId="0" fontId="37" fillId="0" borderId="5" xfId="0" applyNumberFormat="1" applyFont="1" applyFill="1" applyBorder="1" applyAlignment="1">
      <x:alignment vertical="center" wrapText="1"/>
    </x:xf>
    <x:xf numFmtId="0" fontId="37" fillId="16" borderId="0" xfId="0" applyNumberFormat="1" applyFont="1" applyFill="1" applyBorder="1" applyAlignment="1">
      <x:alignment vertical="center" wrapText="1"/>
    </x:xf>
    <x:xf numFmtId="0" fontId="37" fillId="16" borderId="5" xfId="0" applyNumberFormat="1" applyFont="1" applyFill="1" applyBorder="1" applyAlignment="1">
      <x:alignment vertical="center" wrapText="1"/>
    </x:xf>
  </x:cellXfs>
  <x:cellStyles count="3">
    <x:cellStyle name="Normal" xfId="0"/>
    <x:cellStyle name="Normal 2" xfId="3"/>
    <x:cellStyle name="Percent" xfId="1"/>
  </x:cellStyles>
  <x:dxfs count="1">
    <x:dxf>
      <x:font>
        <x:b/>
        <x:color rgb="FF8D5100"/>
      </x:font>
      <x:fill>
        <x:patternFill>
          <x:bgColor rgb="FFFFF0D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5c7cb8a8684c1b" /><Relationship Type="http://schemas.openxmlformats.org/officeDocument/2006/relationships/theme" Target="/xl/theme/theme1.xml" Id="Ra64e898f6691466a" /><Relationship Type="http://schemas.openxmlformats.org/officeDocument/2006/relationships/sharedStrings" Target="/xl/sharedStrings.xml" Id="R6de6a723a31041a4" /><Relationship Type="http://schemas.openxmlformats.org/officeDocument/2006/relationships/worksheet" Target="/xl/worksheets/sheet1.xml" Id="R3cdb0ae5398b40cf" /><Relationship Type="http://schemas.openxmlformats.org/officeDocument/2006/relationships/worksheet" Target="/xl/worksheets/sheet2.xml" Id="R65128b9a27064c24" /><Relationship Type="http://schemas.openxmlformats.org/officeDocument/2006/relationships/worksheet" Target="/xl/worksheets/sheet3.xml" Id="Rce17ea329142463d" /><Relationship Type="http://schemas.openxmlformats.org/officeDocument/2006/relationships/worksheet" Target="/xl/worksheets/sheet4.xml" Id="R06dce3fbe54b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4.399999618530273"/>
  <x:cols>
    <x:col min="1" max="1" width="78" hidden="0" customWidth="1"/>
    <x:col min="3" max="3" width="13" style="21" hidden="0" customWidth="1"/>
    <x:col min="4" max="7" width="14" customWidth="1"/>
    <x:col min="8" max="8" width="45" hidden="0" customWidth="1"/>
    <x:col min="9" max="9" width="12" hidden="0" customWidth="1"/>
    <x:col min="2" max="2" width="11" hidden="0" customWidth="1"/>
    <x:col min="4" max="4" width="16" hidden="0" customWidth="1"/>
    <x:col min="10" max="10" width="13" hidden="0" customWidth="1"/>
    <x:col min="11" max="11" width="12" hidden="0" customWidth="1"/>
    <x:col min="12" max="12" width="13" hidden="0" customWidth="1"/>
    <x:col min="15" max="15" width="18" hidden="0" customWidth="1"/>
    <x:col min="16" max="16" width="14" hidden="0" customWidth="1"/>
  </x:cols>
  <x:sheetData>
    <x:row r="1" ht="34" customHeight="1">
      <x:c r="A1" s="116" t="s">
        <x:v>0</x:v>
      </x:c>
      <x:c r="B1" s="119"/>
      <x:c r="C1" s="120"/>
      <x:c r="D1" s="119"/>
    </x:row>
    <x:row r="2" ht="27" customHeight="1">
      <x:c r="A2" s="154" t="s">
        <x:v>1</x:v>
      </x:c>
      <x:c r="B2" s="155"/>
      <x:c r="C2" s="156"/>
      <x:c r="D2" s="157" t="n">
        <x:f>SUM(D3,D28,D63,D82,D132,D147,D168)</x:f>
        <x:v>0.24999999999999997</x:v>
      </x:c>
      <x:c r="E2" s="25" t="s">
        <x:v>2</x:v>
      </x:c>
      <x:c r="F2" s="45" t="n">
        <x:f>SUM(D2,D185,D350)</x:f>
        <x:v>0.6499999999999999</x:v>
      </x:c>
    </x:row>
    <x:row r="3" ht="24" customHeight="1">
      <x:c r="A3" s="162" t="s">
        <x:v>3</x:v>
      </x:c>
      <x:c r="B3" s="163" t="s">
        <x:v>4</x:v>
      </x:c>
      <x:c r="C3" s="164" t="s">
        <x:v>5</x:v>
      </x:c>
      <x:c r="D3" s="165" t="n">
        <x:f>J8*P4</x:f>
        <x:v>0.0375</x:v>
      </x:c>
      <x:c r="J3" s="5"/>
      <x:c r="K3" s="5"/>
    </x:row>
    <x:row r="4" ht="22" customHeight="1">
      <x:c r="A4" s="170" t="s">
        <x:v>6</x:v>
      </x:c>
      <x:c r="B4" s="171" t="n">
        <x:f>SUM(B5:B10)</x:f>
        <x:v>12</x:v>
      </x:c>
      <x:c r="C4" s="172" t="n">
        <x:f>SUM(C5:C10)</x:f>
        <x:v>0.9999999999999999</x:v>
      </x:c>
      <x:c r="D4" s="173" t="n">
        <x:f>D3*J32</x:f>
        <x:v>0.012499999999999999</x:v>
      </x:c>
      <x:c r="O4" s="256" t="s">
        <x:v>1</x:v>
      </x:c>
      <x:c r="P4" s="257">
        <x:v>0.25</x:v>
      </x:c>
    </x:row>
    <x:row r="5" ht="20" customHeight="1">
      <x:c r="A5" s="174" t="s">
        <x:v>7</x:v>
      </x:c>
      <x:c r="B5" s="175" t="n">
        <x:f>'항목별 평가'!B10</x:f>
        <x:v>2</x:v>
      </x:c>
      <x:c r="C5" s="176" t="n">
        <x:f>IFERROR(B5/B$4,0)</x:f>
        <x:v>0.16666666666666666</x:v>
      </x:c>
      <x:c r="D5" s="176" t="n">
        <x:f>C5*D$4</x:f>
        <x:v>0.002083333333333333</x:v>
      </x:c>
      <x:c r="H5" s="5" t="s">
        <x:v>8</x:v>
      </x:c>
      <x:c r="I5" s="6">
        <x:v>1</x:v>
      </x:c>
      <x:c r="O5" s="250" t="s">
        <x:v>9</x:v>
      </x:c>
      <x:c r="P5" s="253">
        <x:v>0.3</x:v>
      </x:c>
    </x:row>
    <x:row r="6" ht="20" customHeight="1">
      <x:c r="A6" s="180" t="s">
        <x:v>10</x:v>
      </x:c>
      <x:c r="B6" s="181" t="n">
        <x:f>'항목별 평가'!B11</x:f>
        <x:v>1</x:v>
      </x:c>
      <x:c r="C6" s="182" t="n">
        <x:f>IFERROR(B6/B$4,0)</x:f>
        <x:v>0.08333333333333333</x:v>
      </x:c>
      <x:c r="D6" s="182" t="n">
        <x:f>C6*D$4</x:f>
        <x:v>0.0010416666666666664</x:v>
      </x:c>
      <x:c r="O6" s="224" t="s">
        <x:v>11</x:v>
      </x:c>
      <x:c r="P6" s="254">
        <x:v>0.15</x:v>
      </x:c>
    </x:row>
    <x:row r="7" ht="23" customHeight="1">
      <x:c r="A7" s="174" t="s">
        <x:v>12</x:v>
      </x:c>
      <x:c r="B7" s="175" t="n">
        <x:f>'항목별 평가'!B12</x:f>
        <x:v>2</x:v>
      </x:c>
      <x:c r="C7" s="176" t="n">
        <x:f>IFERROR(B7/B$4,0)</x:f>
        <x:v>0.16666666666666666</x:v>
      </x:c>
      <x:c r="D7" s="176" t="n">
        <x:f>C7*D$4</x:f>
        <x:v>0.002083333333333333</x:v>
      </x:c>
      <x:c r="H7" s="229" t="s">
        <x:v>1</x:v>
      </x:c>
      <x:c r="I7" s="229" t="s">
        <x:v>4</x:v>
      </x:c>
      <x:c r="J7" s="242" t="s">
        <x:v>5</x:v>
      </x:c>
      <x:c r="K7" s="230"/>
      <x:c r="L7" s="248"/>
      <x:c r="O7" s="224" t="s">
        <x:v>13</x:v>
      </x:c>
      <x:c r="P7" s="255">
        <x:v>0.1</x:v>
      </x:c>
    </x:row>
    <x:row r="8" ht="20" customHeight="1">
      <x:c r="A8" s="180" t="s">
        <x:v>14</x:v>
      </x:c>
      <x:c r="B8" s="181" t="n">
        <x:f>'항목별 평가'!B13</x:f>
        <x:v>2</x:v>
      </x:c>
      <x:c r="C8" s="182" t="n">
        <x:f>IFERROR(B8/B$4,0)</x:f>
        <x:v>0.16666666666666666</x:v>
      </x:c>
      <x:c r="D8" s="182" t="n">
        <x:f>C8*D$4</x:f>
        <x:v>0.002083333333333333</x:v>
      </x:c>
      <x:c r="H8" s="214" t="str">
        <x:f>A3</x:f>
        <x:v>　계정과 사용자 프로필 (신준우)</x:v>
      </x:c>
      <x:c r="I8" s="231">
        <x:v>3</x:v>
      </x:c>
      <x:c r="J8" s="243" t="n">
        <x:f>I8/I$15</x:f>
        <x:v>0.15</x:v>
      </x:c>
      <x:c r="K8" s="121"/>
      <x:c r="L8" s="244"/>
      <x:c r="O8" s="224" t="s">
        <x:v>15</x:v>
      </x:c>
      <x:c r="P8" s="255">
        <x:v>0.1</x:v>
      </x:c>
    </x:row>
    <x:row r="9" ht="20" customHeight="1">
      <x:c r="A9" s="174" t="s">
        <x:v>16</x:v>
      </x:c>
      <x:c r="B9" s="175" t="n">
        <x:f>'항목별 평가'!B14</x:f>
        <x:v>2</x:v>
      </x:c>
      <x:c r="C9" s="176" t="n">
        <x:f>IFERROR(B9/B$4,0)</x:f>
        <x:v>0.16666666666666666</x:v>
      </x:c>
      <x:c r="D9" s="176" t="n">
        <x:f>C9*D$4</x:f>
        <x:v>0.002083333333333333</x:v>
      </x:c>
      <x:c r="H9" s="214" t="str">
        <x:f>A28</x:f>
        <x:v>　찜 장바구니 주문과 결제 (신준우)</x:v>
      </x:c>
      <x:c r="I9" s="231">
        <x:v>3</x:v>
      </x:c>
      <x:c r="J9" s="243" t="n">
        <x:f>I9/I$15</x:f>
        <x:v>0.15</x:v>
      </x:c>
      <x:c r="K9" s="121"/>
      <x:c r="L9" s="244"/>
      <x:c r="O9" s="224" t="s">
        <x:v>17</x:v>
      </x:c>
      <x:c r="P9" s="255">
        <x:v>0.05</x:v>
      </x:c>
    </x:row>
    <x:row r="10" ht="20" customHeight="1">
      <x:c r="A10" s="180" t="s">
        <x:v>18</x:v>
      </x:c>
      <x:c r="B10" s="181" t="n">
        <x:f>'항목별 평가'!B15</x:f>
        <x:v>3</x:v>
      </x:c>
      <x:c r="C10" s="182" t="n">
        <x:f>IFERROR(B10/B$4,0)</x:f>
        <x:v>0.25</x:v>
      </x:c>
      <x:c r="D10" s="182" t="n">
        <x:f>C10*D$4</x:f>
        <x:v>0.0031249999999999997</x:v>
      </x:c>
      <x:c r="H10" s="231" t="str">
        <x:f>A63</x:f>
        <x:v>　상품 탐색과 상세 정보 (임수혁)</x:v>
      </x:c>
      <x:c r="I10" s="231">
        <x:v>3</x:v>
      </x:c>
      <x:c r="J10" s="243" t="n">
        <x:f>I10/I$15</x:f>
        <x:v>0.15</x:v>
      </x:c>
      <x:c r="K10" s="121"/>
      <x:c r="L10" s="244"/>
      <x:c r="O10" s="224" t="s">
        <x:v>19</x:v>
      </x:c>
      <x:c r="P10" s="255">
        <x:v>0.05</x:v>
      </x:c>
    </x:row>
    <x:row r="11" ht="22" customHeight="1">
      <x:c r="A11" s="170" t="s">
        <x:v>20</x:v>
      </x:c>
      <x:c r="B11" s="171" t="n">
        <x:f>SUM(B12:B15)</x:f>
        <x:v>7</x:v>
      </x:c>
      <x:c r="C11" s="172" t="n">
        <x:f>SUM(C12:C15)</x:f>
        <x:v>1</x:v>
      </x:c>
      <x:c r="D11" s="173" t="n">
        <x:f>D3*J33</x:f>
        <x:v>0.012499999999999999</x:v>
      </x:c>
      <x:c r="H11" s="231" t="str">
        <x:f>A82</x:f>
        <x:v>　커뮤니티 게시글 댓글과 투표 (임수혁)</x:v>
      </x:c>
      <x:c r="I11" s="231">
        <x:v>4</x:v>
      </x:c>
      <x:c r="J11" s="243" t="n">
        <x:f>I11/I$15</x:f>
        <x:v>0.2</x:v>
      </x:c>
      <x:c r="K11" s="121"/>
      <x:c r="L11" s="244"/>
      <x:c r="O11" s="260"/>
      <x:c r="P11" s="261" t="n">
        <x:f>SUM(P4:P10)</x:f>
        <x:v>1</x:v>
      </x:c>
    </x:row>
    <x:row r="12" ht="20" customHeight="1">
      <x:c r="A12" s="174" t="s">
        <x:v>21</x:v>
      </x:c>
      <x:c r="B12" s="183" t="n">
        <x:f>'항목별 평가'!B17</x:f>
        <x:v>1</x:v>
      </x:c>
      <x:c r="C12" s="176" t="n">
        <x:f>IFERROR(B12/B$11,0)</x:f>
        <x:v>0.14285714285714285</x:v>
      </x:c>
      <x:c r="D12" s="176" t="n">
        <x:f>C12*D$11</x:f>
        <x:v>0.0017857142857142854</x:v>
      </x:c>
      <x:c r="H12" s="231" t="str">
        <x:f>A132</x:f>
        <x:v>　자연어 검색과 개인화 코디 추천 (강승원)</x:v>
      </x:c>
      <x:c r="I12" s="231">
        <x:v>2</x:v>
      </x:c>
      <x:c r="J12" s="243" t="n">
        <x:f>I12/I$15</x:f>
        <x:v>0.1</x:v>
      </x:c>
      <x:c r="K12" s="121"/>
      <x:c r="L12" s="244"/>
    </x:row>
    <x:row r="13" ht="20" customHeight="1">
      <x:c r="A13" s="180" t="s">
        <x:v>22</x:v>
      </x:c>
      <x:c r="B13" s="185" t="n">
        <x:f>'항목별 평가'!B18</x:f>
        <x:v>1</x:v>
      </x:c>
      <x:c r="C13" s="182" t="n">
        <x:f>IFERROR(B13/B$11,0)</x:f>
        <x:v>0.14285714285714285</x:v>
      </x:c>
      <x:c r="D13" s="182" t="n">
        <x:f>C13*D$11</x:f>
        <x:v>0.0017857142857142854</x:v>
      </x:c>
      <x:c r="H13" s="231" t="str">
        <x:f>A147</x:f>
        <x:v>　AI 가상 피팅 (강승원)</x:v>
      </x:c>
      <x:c r="I13" s="231">
        <x:v>2</x:v>
      </x:c>
      <x:c r="J13" s="243" t="n">
        <x:f>I13/I$15</x:f>
        <x:v>0.1</x:v>
      </x:c>
      <x:c r="K13" s="121"/>
      <x:c r="L13" s="244"/>
    </x:row>
    <x:row r="14" ht="20" customHeight="1">
      <x:c r="A14" s="174" t="s">
        <x:v>23</x:v>
      </x:c>
      <x:c r="B14" s="183" t="n">
        <x:f>'항목별 평가'!B19</x:f>
        <x:v>2</x:v>
      </x:c>
      <x:c r="C14" s="176" t="n">
        <x:f>IFERROR(B14/B$11,0)</x:f>
        <x:v>0.2857142857142857</x:v>
      </x:c>
      <x:c r="D14" s="176" t="n">
        <x:f>C14*D$11</x:f>
        <x:v>0.003571428571428571</x:v>
      </x:c>
      <x:c r="H14" s="231" t="str">
        <x:f>A168</x:f>
        <x:v>　알림 기능 (강승원)</x:v>
      </x:c>
      <x:c r="I14" s="231">
        <x:v>3</x:v>
      </x:c>
      <x:c r="J14" s="243" t="n">
        <x:f>I14/I$15</x:f>
        <x:v>0.15</x:v>
      </x:c>
      <x:c r="K14" s="121"/>
      <x:c r="L14" s="244"/>
    </x:row>
    <x:row r="15" ht="20" customHeight="1">
      <x:c r="A15" s="180" t="s">
        <x:v>24</x:v>
      </x:c>
      <x:c r="B15" s="185" t="n">
        <x:f>'항목별 평가'!B20</x:f>
        <x:v>3</x:v>
      </x:c>
      <x:c r="C15" s="182" t="n">
        <x:f>IFERROR(B15/B$11,0)</x:f>
        <x:v>0.42857142857142855</x:v>
      </x:c>
      <x:c r="D15" s="182" t="n">
        <x:f>C15*D$11</x:f>
        <x:v>0.005357142857142856</x:v>
      </x:c>
      <x:c r="H15" s="233" t="s">
        <x:v>2</x:v>
      </x:c>
      <x:c r="I15" s="231" t="n">
        <x:f>SUM(I8:I14)</x:f>
        <x:v>20</x:v>
      </x:c>
      <x:c r="J15" s="243" t="n">
        <x:f>SUM(J8:J14)</x:f>
        <x:v>0.9999999999999999</x:v>
      </x:c>
      <x:c r="K15" s="121"/>
      <x:c r="L15" s="244"/>
    </x:row>
    <x:row r="16" ht="22" customHeight="1">
      <x:c r="A16" s="170" t="s">
        <x:v>25</x:v>
      </x:c>
      <x:c r="B16" s="171" t="n">
        <x:f>SUM(B17:B21)</x:f>
        <x:v>10</x:v>
      </x:c>
      <x:c r="C16" s="172" t="n">
        <x:f>SUM(C17:C21)</x:f>
        <x:v>1</x:v>
      </x:c>
      <x:c r="D16" s="173" t="n">
        <x:f>D3*J34</x:f>
        <x:v>0.0062499999999999995</x:v>
      </x:c>
      <x:c r="H16" s="121"/>
      <x:c r="I16" s="121"/>
      <x:c r="J16" s="244"/>
      <x:c r="K16" s="121"/>
      <x:c r="L16" s="244"/>
    </x:row>
    <x:row r="17" ht="20" customHeight="1">
      <x:c r="A17" s="174" t="s">
        <x:v>26</x:v>
      </x:c>
      <x:c r="B17" s="183" t="n">
        <x:f>'항목별 평가'!B22</x:f>
        <x:v>2</x:v>
      </x:c>
      <x:c r="C17" s="176" t="n">
        <x:f>IFERROR(B17/B$16,0)</x:f>
        <x:v>0.2</x:v>
      </x:c>
      <x:c r="D17" s="176" t="n">
        <x:f>C17*D$16</x:f>
        <x:v>0.00125</x:v>
      </x:c>
      <x:c r="H17" s="121"/>
      <x:c r="I17" s="121"/>
      <x:c r="J17" s="244"/>
      <x:c r="K17" s="121"/>
      <x:c r="L17" s="244"/>
    </x:row>
    <x:row r="18" ht="20" customHeight="1">
      <x:c r="A18" s="180" t="s">
        <x:v>27</x:v>
      </x:c>
      <x:c r="B18" s="185" t="n">
        <x:f>'항목별 평가'!B23</x:f>
        <x:v>2</x:v>
      </x:c>
      <x:c r="C18" s="182" t="n">
        <x:f>IFERROR(B18/B$16,0)</x:f>
        <x:v>0.2</x:v>
      </x:c>
      <x:c r="D18" s="182" t="n">
        <x:f>C18*D$16</x:f>
        <x:v>0.00125</x:v>
      </x:c>
      <x:c r="H18" s="121"/>
      <x:c r="I18" s="121"/>
      <x:c r="J18" s="244"/>
      <x:c r="K18" s="121"/>
      <x:c r="L18" s="244"/>
    </x:row>
    <x:row r="19" ht="20" customHeight="1">
      <x:c r="A19" s="174" t="s">
        <x:v>28</x:v>
      </x:c>
      <x:c r="B19" s="183" t="n">
        <x:f>'항목별 평가'!B24</x:f>
        <x:v>2</x:v>
      </x:c>
      <x:c r="C19" s="176" t="n">
        <x:f>IFERROR(B19/B$16,0)</x:f>
        <x:v>0.2</x:v>
      </x:c>
      <x:c r="D19" s="176" t="n">
        <x:f>C19*D$16</x:f>
        <x:v>0.00125</x:v>
      </x:c>
      <x:c r="H19" s="233" t="s">
        <x:v>9</x:v>
      </x:c>
      <x:c r="I19" s="233" t="s">
        <x:v>4</x:v>
      </x:c>
      <x:c r="J19" s="245" t="s">
        <x:v>5</x:v>
      </x:c>
      <x:c r="K19" s="121"/>
      <x:c r="L19" s="244"/>
    </x:row>
    <x:row r="20" ht="20" customHeight="1">
      <x:c r="A20" s="180" t="s">
        <x:v>29</x:v>
      </x:c>
      <x:c r="B20" s="185" t="n">
        <x:f>'항목별 평가'!B25</x:f>
        <x:v>2</x:v>
      </x:c>
      <x:c r="C20" s="182" t="n">
        <x:f>IFERROR(B20/B$16,0)</x:f>
        <x:v>0.2</x:v>
      </x:c>
      <x:c r="D20" s="182" t="n">
        <x:f>C20*D$16</x:f>
        <x:v>0.00125</x:v>
      </x:c>
      <x:c r="H20" s="233" t="str">
        <x:f>A186</x:f>
        <x:v>　계정과 사용자 프로필 (준우, 지현)</x:v>
      </x:c>
      <x:c r="I20" s="231">
        <x:v>3</x:v>
      </x:c>
      <x:c r="J20" s="243" t="n">
        <x:f>I20/I$27</x:f>
        <x:v>0.13636363636363635</x:v>
      </x:c>
      <x:c r="K20" s="121"/>
      <x:c r="L20" s="244"/>
    </x:row>
    <x:row r="21" ht="20" customHeight="1">
      <x:c r="A21" s="174" t="s">
        <x:v>30</x:v>
      </x:c>
      <x:c r="B21" s="183" t="n">
        <x:f>'항목별 평가'!B26</x:f>
        <x:v>2</x:v>
      </x:c>
      <x:c r="C21" s="176" t="n">
        <x:f>IFERROR(B21/B$16,0)</x:f>
        <x:v>0.2</x:v>
      </x:c>
      <x:c r="D21" s="176" t="n">
        <x:f>C21*D$16</x:f>
        <x:v>0.00125</x:v>
      </x:c>
      <x:c r="H21" s="231" t="str">
        <x:f>A210</x:f>
        <x:v>　상품 탐색과 상세 정보 (준우, 주희)</x:v>
      </x:c>
      <x:c r="I21" s="231">
        <x:v>2</x:v>
      </x:c>
      <x:c r="J21" s="243" t="n">
        <x:f>I21/I$27</x:f>
        <x:v>0.09090909090909091</x:v>
      </x:c>
      <x:c r="K21" s="121"/>
      <x:c r="L21" s="244"/>
    </x:row>
    <x:row r="22" ht="22" customHeight="1">
      <x:c r="A22" s="170" t="s">
        <x:v>31</x:v>
      </x:c>
      <x:c r="B22" s="171" t="n">
        <x:f>SUM(B23:B27)</x:f>
        <x:v>10</x:v>
      </x:c>
      <x:c r="C22" s="172" t="n">
        <x:f>SUM(C23:C27)</x:f>
        <x:v>1</x:v>
      </x:c>
      <x:c r="D22" s="173" t="n">
        <x:f>D3*J35</x:f>
        <x:v>0.0062499999999999995</x:v>
      </x:c>
      <x:c r="H22" s="231" t="str">
        <x:f>A226</x:f>
        <x:v>　자연어 검색과 개인화 코디 추천(수혁, 경민)</x:v>
      </x:c>
      <x:c r="I22" s="231">
        <x:v>4</x:v>
      </x:c>
      <x:c r="J22" s="243" t="n">
        <x:f>I22/I$27</x:f>
        <x:v>0.18181818181818182</x:v>
      </x:c>
      <x:c r="K22" s="121"/>
      <x:c r="L22" s="244"/>
    </x:row>
    <x:row r="23" ht="20" customHeight="1">
      <x:c r="A23" s="180" t="s">
        <x:v>32</x:v>
      </x:c>
      <x:c r="B23" s="185" t="n">
        <x:f>'항목별 평가'!B28</x:f>
        <x:v>2</x:v>
      </x:c>
      <x:c r="C23" s="182" t="n">
        <x:f>IFERROR(B23/B$22,0)</x:f>
        <x:v>0.2</x:v>
      </x:c>
      <x:c r="D23" s="182" t="n">
        <x:f>C23*D$22</x:f>
        <x:v>0.00125</x:v>
      </x:c>
      <x:c r="H23" s="231" t="str">
        <x:f>A267</x:f>
        <x:v>　커뮤니티 게시글 댓글과 투표 (수혁, 지현)</x:v>
      </x:c>
      <x:c r="I23" s="231">
        <x:v>3</x:v>
      </x:c>
      <x:c r="J23" s="243" t="n">
        <x:f>I23/I$27</x:f>
        <x:v>0.13636363636363635</x:v>
      </x:c>
      <x:c r="K23" s="121"/>
      <x:c r="L23" s="244"/>
    </x:row>
    <x:row r="24" ht="20" customHeight="1">
      <x:c r="A24" s="174" t="s">
        <x:v>33</x:v>
      </x:c>
      <x:c r="B24" s="183" t="n">
        <x:f>'항목별 평가'!B29</x:f>
        <x:v>2</x:v>
      </x:c>
      <x:c r="C24" s="176" t="n">
        <x:f>IFERROR(B24/B$22,0)</x:f>
        <x:v>0.2</x:v>
      </x:c>
      <x:c r="D24" s="176" t="n">
        <x:f>C24*D$22</x:f>
        <x:v>0.00125</x:v>
      </x:c>
      <x:c r="H24" s="231" t="str">
        <x:f>A328</x:f>
        <x:v>　알림 기능 (준우,지현)</x:v>
      </x:c>
      <x:c r="I24" s="231">
        <x:v>3</x:v>
      </x:c>
      <x:c r="J24" s="243" t="n">
        <x:f>I24/I$27</x:f>
        <x:v>0.13636363636363635</x:v>
      </x:c>
      <x:c r="K24" s="121"/>
      <x:c r="L24" s="244"/>
    </x:row>
    <x:row r="25" ht="20" customHeight="1">
      <x:c r="A25" s="180" t="s">
        <x:v>34</x:v>
      </x:c>
      <x:c r="B25" s="185" t="n">
        <x:f>'항목별 평가'!B30</x:f>
        <x:v>2</x:v>
      </x:c>
      <x:c r="C25" s="182" t="n">
        <x:f>IFERROR(B25/B$22,0)</x:f>
        <x:v>0.2</x:v>
      </x:c>
      <x:c r="D25" s="182" t="n">
        <x:f>C25*D$22</x:f>
        <x:v>0.00125</x:v>
      </x:c>
      <x:c r="H25" s="231" t="str">
        <x:f>A309</x:f>
        <x:v>　AI 가상 피팅 (승원, 경민)</x:v>
      </x:c>
      <x:c r="I25" s="231">
        <x:v>4</x:v>
      </x:c>
      <x:c r="J25" s="243" t="n">
        <x:f>I25/I$27</x:f>
        <x:v>0.18181818181818182</x:v>
      </x:c>
      <x:c r="K25" s="121"/>
      <x:c r="L25" s="244"/>
    </x:row>
    <x:row r="26" ht="20" customHeight="1">
      <x:c r="A26" s="174" t="s">
        <x:v>35</x:v>
      </x:c>
      <x:c r="B26" s="183" t="n">
        <x:f>'항목별 평가'!B31</x:f>
        <x:v>2</x:v>
      </x:c>
      <x:c r="C26" s="176" t="n">
        <x:f>IFERROR(B26/B$22,0)</x:f>
        <x:v>0.2</x:v>
      </x:c>
      <x:c r="D26" s="176" t="n">
        <x:f>C26*D$22</x:f>
        <x:v>0.00125</x:v>
      </x:c>
      <x:c r="H26" s="231" t="str">
        <x:f>A238</x:f>
        <x:v>　찜 장바구니 주문과 결제 (승원, 주희)</x:v>
      </x:c>
      <x:c r="I26" s="231">
        <x:v>3</x:v>
      </x:c>
      <x:c r="J26" s="243" t="n">
        <x:f>I26/I$27</x:f>
        <x:v>0.13636363636363635</x:v>
      </x:c>
      <x:c r="K26" s="121"/>
      <x:c r="L26" s="244"/>
    </x:row>
    <x:row r="27" ht="20" customHeight="1">
      <x:c r="A27" s="180" t="s">
        <x:v>36</x:v>
      </x:c>
      <x:c r="B27" s="185" t="n">
        <x:f>'항목별 평가'!B32</x:f>
        <x:v>2</x:v>
      </x:c>
      <x:c r="C27" s="182" t="n">
        <x:f>IFERROR(B27/B$22,0)</x:f>
        <x:v>0.2</x:v>
      </x:c>
      <x:c r="D27" s="182" t="n">
        <x:f>C27*D$22</x:f>
        <x:v>0.00125</x:v>
      </x:c>
      <x:c r="H27" s="233" t="s">
        <x:v>2</x:v>
      </x:c>
      <x:c r="I27" s="231" t="n">
        <x:f>SUM(I20:I26)</x:f>
        <x:v>22</x:v>
      </x:c>
      <x:c r="J27" s="243" t="n">
        <x:f>SUM(J20:J26)</x:f>
        <x:v>0.9999999999999999</x:v>
      </x:c>
      <x:c r="K27" s="121"/>
      <x:c r="L27" s="244"/>
    </x:row>
    <x:row r="28" ht="24" customHeight="1">
      <x:c r="A28" s="162" t="s">
        <x:v>37</x:v>
      </x:c>
      <x:c r="B28" s="188" t="s">
        <x:v>4</x:v>
      </x:c>
      <x:c r="C28" s="189" t="s">
        <x:v>5</x:v>
      </x:c>
      <x:c r="D28" s="165" t="n">
        <x:f>P4*J9</x:f>
        <x:v>0.0375</x:v>
      </x:c>
      <x:c r="H28" s="121"/>
      <x:c r="I28" s="121"/>
      <x:c r="J28" s="244"/>
      <x:c r="K28" s="121"/>
      <x:c r="L28" s="244"/>
    </x:row>
    <x:row r="29" ht="22" customHeight="1">
      <x:c r="A29" s="170" t="s">
        <x:v>38</x:v>
      </x:c>
      <x:c r="B29" s="171" t="n">
        <x:f>SUM(B30:B34)</x:f>
        <x:v>10</x:v>
      </x:c>
      <x:c r="C29" s="172" t="n">
        <x:f>SUM(C30:C34)</x:f>
        <x:v>0.9999999999999999</x:v>
      </x:c>
      <x:c r="D29" s="173" t="n">
        <x:f>D28*J41</x:f>
        <x:v>0.0057692307692307696</x:v>
      </x:c>
      <x:c r="H29" s="234" t="s">
        <x:v>39</x:v>
      </x:c>
      <x:c r="I29" s="235"/>
      <x:c r="J29" s="246"/>
      <x:c r="K29" s="235"/>
      <x:c r="L29" s="249"/>
    </x:row>
    <x:row r="30" ht="20" customHeight="1">
      <x:c r="A30" s="174" t="s">
        <x:v>40</x:v>
      </x:c>
      <x:c r="B30" s="183" t="n">
        <x:f>'항목별 평가'!B35</x:f>
        <x:v>2</x:v>
      </x:c>
      <x:c r="C30" s="176" t="n">
        <x:f>IFERROR(B30/B$29,0)</x:f>
        <x:v>0.2</x:v>
      </x:c>
      <x:c r="D30" s="176" t="n">
        <x:f>C30*D$29</x:f>
        <x:v>0.001153846153846154</x:v>
      </x:c>
      <x:c r="H30" s="237"/>
      <x:c r="I30" s="233" t="s">
        <x:v>1</x:v>
      </x:c>
      <x:c r="J30" s="245"/>
      <x:c r="K30" s="233" t="s">
        <x:v>9</x:v>
      </x:c>
      <x:c r="L30" s="243"/>
    </x:row>
    <x:row r="31" ht="20" customHeight="1">
      <x:c r="A31" s="180" t="s">
        <x:v>41</x:v>
      </x:c>
      <x:c r="B31" s="185" t="n">
        <x:f>'항목별 평가'!B36</x:f>
        <x:v>2</x:v>
      </x:c>
      <x:c r="C31" s="182" t="n">
        <x:f>IFERROR(B31/B$29,0)</x:f>
        <x:v>0.2</x:v>
      </x:c>
      <x:c r="D31" s="182" t="n">
        <x:f>C31*D$29</x:f>
        <x:v>0.001153846153846154</x:v>
      </x:c>
      <x:c r="H31" s="238"/>
      <x:c r="I31" s="233" t="s">
        <x:v>4</x:v>
      </x:c>
      <x:c r="J31" s="245" t="s">
        <x:v>5</x:v>
      </x:c>
      <x:c r="K31" s="233" t="s">
        <x:v>4</x:v>
      </x:c>
      <x:c r="L31" s="243" t="s">
        <x:v>5</x:v>
      </x:c>
    </x:row>
    <x:row r="32" ht="20" customHeight="1">
      <x:c r="A32" s="174" t="s">
        <x:v>42</x:v>
      </x:c>
      <x:c r="B32" s="183" t="n">
        <x:f>'항목별 평가'!B37</x:f>
        <x:v>3</x:v>
      </x:c>
      <x:c r="C32" s="176" t="n">
        <x:f>IFERROR(B32/B$29,0)</x:f>
        <x:v>0.3</x:v>
      </x:c>
      <x:c r="D32" s="176" t="n">
        <x:f>C32*D$29</x:f>
        <x:v>0.0017307692307692308</x:v>
      </x:c>
      <x:c r="G32" s="2" t="s">
        <x:v>39</x:v>
      </x:c>
      <x:c r="H32" s="238" t="s">
        <x:v>43</x:v>
      </x:c>
      <x:c r="I32" s="239">
        <x:v>2</x:v>
      </x:c>
      <x:c r="J32" s="247" t="n">
        <x:f>IFERROR(I32/I$36,0)</x:f>
        <x:v>0.3333333333333333</x:v>
      </x:c>
      <x:c r="K32" s="239">
        <x:v>2</x:v>
      </x:c>
      <x:c r="L32" s="247" t="n">
        <x:f>IFERROR(K32/K$36,0)</x:f>
        <x:v>0.3333333333333333</x:v>
      </x:c>
    </x:row>
    <x:row r="33" ht="20" customHeight="1">
      <x:c r="A33" s="180" t="s">
        <x:v>44</x:v>
      </x:c>
      <x:c r="B33" s="185" t="n">
        <x:f>'항목별 평가'!B38</x:f>
        <x:v>2</x:v>
      </x:c>
      <x:c r="C33" s="182" t="n">
        <x:f>IFERROR(B33/B$29,0)</x:f>
        <x:v>0.2</x:v>
      </x:c>
      <x:c r="D33" s="182" t="n">
        <x:f>C33*D$29</x:f>
        <x:v>0.001153846153846154</x:v>
      </x:c>
      <x:c r="G33" s="2"/>
      <x:c r="H33" s="238" t="s">
        <x:v>45</x:v>
      </x:c>
      <x:c r="I33" s="239">
        <x:v>2</x:v>
      </x:c>
      <x:c r="J33" s="247" t="n">
        <x:f>IFERROR(I33/I$36,0)</x:f>
        <x:v>0.3333333333333333</x:v>
      </x:c>
      <x:c r="K33" s="239">
        <x:v>2</x:v>
      </x:c>
      <x:c r="L33" s="247" t="n">
        <x:f>IFERROR(K33/K$36,0)</x:f>
        <x:v>0.3333333333333333</x:v>
      </x:c>
    </x:row>
    <x:row r="34" ht="20" customHeight="1">
      <x:c r="A34" s="174" t="s">
        <x:v>46</x:v>
      </x:c>
      <x:c r="B34" s="183" t="n">
        <x:f>'항목별 평가'!B39</x:f>
        <x:v>1</x:v>
      </x:c>
      <x:c r="C34" s="176" t="n">
        <x:f>IFERROR(B34/B$29,0)</x:f>
        <x:v>0.1</x:v>
      </x:c>
      <x:c r="D34" s="176" t="n">
        <x:f>C34*D$29</x:f>
        <x:v>0.000576923076923077</x:v>
      </x:c>
      <x:c r="G34" s="2"/>
      <x:c r="H34" s="238" t="s">
        <x:v>47</x:v>
      </x:c>
      <x:c r="I34" s="239">
        <x:v>1</x:v>
      </x:c>
      <x:c r="J34" s="247" t="n">
        <x:f>IFERROR(I34/I$36,0)</x:f>
        <x:v>0.16666666666666666</x:v>
      </x:c>
      <x:c r="K34" s="239">
        <x:v>1</x:v>
      </x:c>
      <x:c r="L34" s="247" t="n">
        <x:f>IFERROR(K34/K$36,0)</x:f>
        <x:v>0.16666666666666666</x:v>
      </x:c>
    </x:row>
    <x:row r="35" ht="22" customHeight="1">
      <x:c r="A35" s="170" t="s">
        <x:v>48</x:v>
      </x:c>
      <x:c r="B35" s="171" t="n">
        <x:f>SUM(B36:B39)</x:f>
        <x:v>8</x:v>
      </x:c>
      <x:c r="C35" s="172" t="n">
        <x:f>SUM(C36:C39)</x:f>
        <x:v>1</x:v>
      </x:c>
      <x:c r="D35" s="173" t="n">
        <x:f>D28*J42</x:f>
        <x:v>0.0057692307692307696</x:v>
      </x:c>
      <x:c r="G35" s="2"/>
      <x:c r="H35" s="238" t="s">
        <x:v>49</x:v>
      </x:c>
      <x:c r="I35" s="239">
        <x:v>1</x:v>
      </x:c>
      <x:c r="J35" s="247" t="n">
        <x:f>IFERROR(I35/I$36,0)</x:f>
        <x:v>0.16666666666666666</x:v>
      </x:c>
      <x:c r="K35" s="239">
        <x:v>1</x:v>
      </x:c>
      <x:c r="L35" s="247" t="n">
        <x:f>IFERROR(K35/K$36,0)</x:f>
        <x:v>0.16666666666666666</x:v>
      </x:c>
    </x:row>
    <x:row r="36" ht="20" customHeight="1">
      <x:c r="A36" s="180" t="s">
        <x:v>50</x:v>
      </x:c>
      <x:c r="B36" s="185" t="n">
        <x:f>'항목별 평가'!B41</x:f>
        <x:v>2</x:v>
      </x:c>
      <x:c r="C36" s="182" t="n">
        <x:f>IFERROR(B36/B$35,0)</x:f>
        <x:v>0.25</x:v>
      </x:c>
      <x:c r="D36" s="182" t="n">
        <x:f>C36*D$35</x:f>
        <x:v>0.0014423076923076924</x:v>
      </x:c>
      <x:c r="G36" s="2"/>
      <x:c r="H36" s="241" t="s">
        <x:v>2</x:v>
      </x:c>
      <x:c r="I36" s="121" t="n">
        <x:f>SUM(I32:I35)</x:f>
        <x:v>6</x:v>
      </x:c>
      <x:c r="J36" s="244" t="n">
        <x:f>IFERROR(SUM(J32:J35),0)</x:f>
        <x:v>0.9999999999999999</x:v>
      </x:c>
      <x:c r="K36" s="121" t="n">
        <x:f>SUM(K32:K35)</x:f>
        <x:v>6</x:v>
      </x:c>
      <x:c r="L36" s="244" t="n">
        <x:f>IFERROR(SUM(L32:L35),0)</x:f>
        <x:v>0.9999999999999999</x:v>
      </x:c>
    </x:row>
    <x:row r="37" ht="20" customHeight="1">
      <x:c r="A37" s="174" t="s">
        <x:v>51</x:v>
      </x:c>
      <x:c r="B37" s="183" t="n">
        <x:f>'항목별 평가'!B42</x:f>
        <x:v>2</x:v>
      </x:c>
      <x:c r="C37" s="176" t="n">
        <x:f>IFERROR(B37/B$35,0)</x:f>
        <x:v>0.25</x:v>
      </x:c>
      <x:c r="D37" s="176" t="n">
        <x:f>C37*D$35</x:f>
        <x:v>0.0014423076923076924</x:v>
      </x:c>
      <x:c r="H37" s="121"/>
      <x:c r="I37" s="121"/>
      <x:c r="J37" s="244"/>
      <x:c r="K37" s="121"/>
      <x:c r="L37" s="244"/>
    </x:row>
    <x:row r="38" ht="20" customHeight="1">
      <x:c r="A38" s="180" t="s">
        <x:v>52</x:v>
      </x:c>
      <x:c r="B38" s="185" t="n">
        <x:f>'항목별 평가'!B43</x:f>
        <x:v>2</x:v>
      </x:c>
      <x:c r="C38" s="182" t="n">
        <x:f>IFERROR(B38/B$35,0)</x:f>
        <x:v>0.25</x:v>
      </x:c>
      <x:c r="D38" s="182" t="n">
        <x:f>C38*D$35</x:f>
        <x:v>0.0014423076923076924</x:v>
      </x:c>
      <x:c r="H38" s="93" t="s">
        <x:v>53</x:v>
      </x:c>
      <x:c r="I38" s="235" t="s">
        <x:v>1</x:v>
      </x:c>
      <x:c r="J38" s="246"/>
      <x:c r="K38" s="235" t="s">
        <x:v>9</x:v>
      </x:c>
      <x:c r="L38" s="249"/>
    </x:row>
    <x:row r="39" ht="20" customHeight="1">
      <x:c r="A39" s="174" t="s">
        <x:v>54</x:v>
      </x:c>
      <x:c r="B39" s="183" t="n">
        <x:f>'항목별 평가'!B44</x:f>
        <x:v>2</x:v>
      </x:c>
      <x:c r="C39" s="176" t="n">
        <x:f>IFERROR(B39/B$35,0)</x:f>
        <x:v>0.25</x:v>
      </x:c>
      <x:c r="D39" s="176" t="n">
        <x:f>C39*D$35</x:f>
        <x:v>0.0014423076923076924</x:v>
      </x:c>
      <x:c r="H39" s="237"/>
      <x:c r="I39" s="233" t="s">
        <x:v>1</x:v>
      </x:c>
      <x:c r="J39" s="245"/>
      <x:c r="K39" s="233" t="s">
        <x:v>9</x:v>
      </x:c>
      <x:c r="L39" s="243"/>
    </x:row>
    <x:row r="40" ht="22" customHeight="1">
      <x:c r="A40" s="170" t="s">
        <x:v>55</x:v>
      </x:c>
      <x:c r="B40" s="171" t="n">
        <x:f>SUM(B41:B45)</x:f>
        <x:v>11</x:v>
      </x:c>
      <x:c r="C40" s="172" t="n">
        <x:f>SUM(C41:C45)</x:f>
        <x:v>1</x:v>
      </x:c>
      <x:c r="D40" s="173" t="n">
        <x:f>D28*J43</x:f>
        <x:v>0.0057692307692307696</x:v>
      </x:c>
      <x:c r="H40" s="238"/>
      <x:c r="I40" s="233" t="s">
        <x:v>4</x:v>
      </x:c>
      <x:c r="J40" s="245" t="s">
        <x:v>5</x:v>
      </x:c>
      <x:c r="K40" s="233" t="s">
        <x:v>4</x:v>
      </x:c>
      <x:c r="L40" s="243" t="s">
        <x:v>5</x:v>
      </x:c>
    </x:row>
    <x:row r="41" ht="20" customHeight="1">
      <x:c r="A41" s="180" t="s">
        <x:v>56</x:v>
      </x:c>
      <x:c r="B41" s="185" t="n">
        <x:f>'항목별 평가'!B46</x:f>
        <x:v>2</x:v>
      </x:c>
      <x:c r="C41" s="182" t="n">
        <x:f>IFERROR(B41/B$40,0)</x:f>
        <x:v>0.18181818181818182</x:v>
      </x:c>
      <x:c r="D41" s="182" t="n">
        <x:f>C41*D$40</x:f>
        <x:v>0.001048951048951049</x:v>
      </x:c>
      <x:c r="H41" s="238" t="s">
        <x:v>57</x:v>
      </x:c>
      <x:c r="I41" s="239">
        <x:v>2</x:v>
      </x:c>
      <x:c r="J41" s="247" t="n">
        <x:f>IFERROR(I41/I$47,0)</x:f>
        <x:v>0.15384615384615385</x:v>
      </x:c>
      <x:c r="K41" s="239">
        <x:v>2</x:v>
      </x:c>
      <x:c r="L41" s="247" t="n">
        <x:f>IFERROR(K41/K$47,0)</x:f>
        <x:v>0.15384615384615385</x:v>
      </x:c>
    </x:row>
    <x:row r="42" ht="20" customHeight="1">
      <x:c r="A42" s="174" t="s">
        <x:v>58</x:v>
      </x:c>
      <x:c r="B42" s="183" t="n">
        <x:f>'항목별 평가'!B47</x:f>
        <x:v>2</x:v>
      </x:c>
      <x:c r="C42" s="176" t="n">
        <x:f>IFERROR(B42/B$40,0)</x:f>
        <x:v>0.18181818181818182</x:v>
      </x:c>
      <x:c r="D42" s="176" t="n">
        <x:f>C42*D$40</x:f>
        <x:v>0.001048951048951049</x:v>
      </x:c>
      <x:c r="H42" s="238" t="s">
        <x:v>59</x:v>
      </x:c>
      <x:c r="I42" s="239">
        <x:v>2</x:v>
      </x:c>
      <x:c r="J42" s="247" t="n">
        <x:f>IFERROR(I42/I$47,0)</x:f>
        <x:v>0.15384615384615385</x:v>
      </x:c>
      <x:c r="K42" s="239">
        <x:v>2</x:v>
      </x:c>
      <x:c r="L42" s="247" t="n">
        <x:f>IFERROR(K42/K$47,0)</x:f>
        <x:v>0.15384615384615385</x:v>
      </x:c>
    </x:row>
    <x:row r="43" ht="20" customHeight="1">
      <x:c r="A43" s="180" t="s">
        <x:v>60</x:v>
      </x:c>
      <x:c r="B43" s="185" t="n">
        <x:f>'항목별 평가'!B48</x:f>
        <x:v>2</x:v>
      </x:c>
      <x:c r="C43" s="182" t="n">
        <x:f>IFERROR(B43/B$40,0)</x:f>
        <x:v>0.18181818181818182</x:v>
      </x:c>
      <x:c r="D43" s="182" t="n">
        <x:f>C43*D$40</x:f>
        <x:v>0.001048951048951049</x:v>
      </x:c>
      <x:c r="H43" s="238" t="s">
        <x:v>61</x:v>
      </x:c>
      <x:c r="I43" s="239">
        <x:v>2</x:v>
      </x:c>
      <x:c r="J43" s="247" t="n">
        <x:f>IFERROR(I43/I$47,0)</x:f>
        <x:v>0.15384615384615385</x:v>
      </x:c>
      <x:c r="K43" s="239">
        <x:v>2</x:v>
      </x:c>
      <x:c r="L43" s="247" t="n">
        <x:f>IFERROR(K43/K$47,0)</x:f>
        <x:v>0.15384615384615385</x:v>
      </x:c>
    </x:row>
    <x:row r="44" ht="20" customHeight="1">
      <x:c r="A44" s="174" t="s">
        <x:v>62</x:v>
      </x:c>
      <x:c r="B44" s="183" t="n">
        <x:f>'항목별 평가'!B49</x:f>
        <x:v>2</x:v>
      </x:c>
      <x:c r="C44" s="176" t="n">
        <x:f>IFERROR(B44/B$40,0)</x:f>
        <x:v>0.18181818181818182</x:v>
      </x:c>
      <x:c r="D44" s="176" t="n">
        <x:f>C44*D$40</x:f>
        <x:v>0.001048951048951049</x:v>
      </x:c>
      <x:c r="H44" s="238" t="s">
        <x:v>63</x:v>
      </x:c>
      <x:c r="I44" s="239">
        <x:v>3</x:v>
      </x:c>
      <x:c r="J44" s="247" t="n">
        <x:f>IFERROR(I44/I$47,0)</x:f>
        <x:v>0.23076923076923078</x:v>
      </x:c>
      <x:c r="K44" s="239">
        <x:v>3</x:v>
      </x:c>
      <x:c r="L44" s="247" t="n">
        <x:f>IFERROR(K44/K$47,0)</x:f>
        <x:v>0.23076923076923078</x:v>
      </x:c>
    </x:row>
    <x:row r="45" ht="20" customHeight="1">
      <x:c r="A45" s="180" t="s">
        <x:v>64</x:v>
      </x:c>
      <x:c r="B45" s="185" t="n">
        <x:f>'항목별 평가'!B50</x:f>
        <x:v>3</x:v>
      </x:c>
      <x:c r="C45" s="182" t="n">
        <x:f>IFERROR(B45/B$40,0)</x:f>
        <x:v>0.2727272727272727</x:v>
      </x:c>
      <x:c r="D45" s="182" t="n">
        <x:f>C45*D$40</x:f>
        <x:v>0.0015734265734265733</x:v>
      </x:c>
      <x:c r="H45" s="238" t="s">
        <x:v>65</x:v>
      </x:c>
      <x:c r="I45" s="239">
        <x:v>2</x:v>
      </x:c>
      <x:c r="J45" s="247" t="n">
        <x:f>IFERROR(I45/I$47,0)</x:f>
        <x:v>0.15384615384615385</x:v>
      </x:c>
      <x:c r="K45" s="239">
        <x:v>2</x:v>
      </x:c>
      <x:c r="L45" s="247" t="n">
        <x:f>IFERROR(K45/K$47,0)</x:f>
        <x:v>0.15384615384615385</x:v>
      </x:c>
    </x:row>
    <x:row r="46" ht="22" customHeight="1">
      <x:c r="A46" s="170" t="s">
        <x:v>66</x:v>
      </x:c>
      <x:c r="B46" s="171" t="n">
        <x:f>SUM(B47:B51)</x:f>
        <x:v>10</x:v>
      </x:c>
      <x:c r="C46" s="172" t="n">
        <x:f>SUM(C47:C51)</x:f>
        <x:v>1</x:v>
      </x:c>
      <x:c r="D46" s="173" t="n">
        <x:f>D28*J44</x:f>
        <x:v>0.008653846153846154</x:v>
      </x:c>
      <x:c r="H46" s="238" t="s">
        <x:v>67</x:v>
      </x:c>
      <x:c r="I46" s="239">
        <x:v>2</x:v>
      </x:c>
      <x:c r="J46" s="247" t="n">
        <x:f>IFERROR(I46/I$47,0)</x:f>
        <x:v>0.15384615384615385</x:v>
      </x:c>
      <x:c r="K46" s="239">
        <x:v>2</x:v>
      </x:c>
      <x:c r="L46" s="247" t="n">
        <x:f>IFERROR(K46/K$47,0)</x:f>
        <x:v>0.15384615384615385</x:v>
      </x:c>
    </x:row>
    <x:row r="47" ht="20" customHeight="1">
      <x:c r="A47" s="174" t="s">
        <x:v>68</x:v>
      </x:c>
      <x:c r="B47" s="183" t="n">
        <x:f>'항목별 평가'!B52</x:f>
        <x:v>2</x:v>
      </x:c>
      <x:c r="C47" s="176" t="n">
        <x:f>IFERROR(B47/B$46,0)</x:f>
        <x:v>0.2</x:v>
      </x:c>
      <x:c r="D47" s="176" t="n">
        <x:f>C47*D$46</x:f>
        <x:v>0.001730769230769231</x:v>
      </x:c>
      <x:c r="H47" s="241" t="s">
        <x:v>2</x:v>
      </x:c>
      <x:c r="I47" s="121" t="n">
        <x:f>SUM(I41:I46)</x:f>
        <x:v>13</x:v>
      </x:c>
      <x:c r="J47" s="244" t="n">
        <x:f>IFERROR(SUM(J41:J46),0)</x:f>
        <x:v>1</x:v>
      </x:c>
      <x:c r="K47" s="121" t="n">
        <x:f>SUM(K41:K46)</x:f>
        <x:v>13</x:v>
      </x:c>
      <x:c r="L47" s="244" t="n">
        <x:f>IFERROR(SUM(L41:L46),0)</x:f>
        <x:v>1</x:v>
      </x:c>
    </x:row>
    <x:row r="48" ht="20" customHeight="1">
      <x:c r="A48" s="180" t="s">
        <x:v>69</x:v>
      </x:c>
      <x:c r="B48" s="185" t="n">
        <x:f>'항목별 평가'!B53</x:f>
        <x:v>3</x:v>
      </x:c>
      <x:c r="C48" s="182" t="n">
        <x:f>IFERROR(B48/B$46,0)</x:f>
        <x:v>0.3</x:v>
      </x:c>
      <x:c r="D48" s="182" t="n">
        <x:f>C48*D$46</x:f>
        <x:v>0.002596153846153846</x:v>
      </x:c>
      <x:c r="H48" s="121"/>
      <x:c r="I48" s="121"/>
      <x:c r="J48" s="244"/>
      <x:c r="K48" s="121"/>
      <x:c r="L48" s="244"/>
    </x:row>
    <x:row r="49" ht="20" customHeight="1">
      <x:c r="A49" s="174" t="s">
        <x:v>70</x:v>
      </x:c>
      <x:c r="B49" s="183" t="n">
        <x:f>'항목별 평가'!B54</x:f>
        <x:v>2</x:v>
      </x:c>
      <x:c r="C49" s="176" t="n">
        <x:f>IFERROR(B49/B$46,0)</x:f>
        <x:v>0.2</x:v>
      </x:c>
      <x:c r="D49" s="176" t="n">
        <x:f>C49*D$46</x:f>
        <x:v>0.001730769230769231</x:v>
      </x:c>
      <x:c r="H49" s="93" t="s">
        <x:v>71</x:v>
      </x:c>
      <x:c r="I49" s="235" t="s">
        <x:v>1</x:v>
      </x:c>
      <x:c r="J49" s="246"/>
      <x:c r="K49" s="235" t="s">
        <x:v>9</x:v>
      </x:c>
      <x:c r="L49" s="249"/>
    </x:row>
    <x:row r="50" ht="20" customHeight="1">
      <x:c r="A50" s="180" t="s">
        <x:v>72</x:v>
      </x:c>
      <x:c r="B50" s="185" t="n">
        <x:f>'항목별 평가'!B55</x:f>
        <x:v>1</x:v>
      </x:c>
      <x:c r="C50" s="182" t="n">
        <x:f>IFERROR(B50/B$46,0)</x:f>
        <x:v>0.1</x:v>
      </x:c>
      <x:c r="D50" s="182" t="n">
        <x:f>C50*D$46</x:f>
        <x:v>0.0008653846153846155</x:v>
      </x:c>
      <x:c r="H50" s="237"/>
      <x:c r="I50" s="233" t="s">
        <x:v>1</x:v>
      </x:c>
      <x:c r="J50" s="245"/>
      <x:c r="K50" s="233" t="s">
        <x:v>9</x:v>
      </x:c>
      <x:c r="L50" s="243"/>
    </x:row>
    <x:row r="51" ht="20" customHeight="1">
      <x:c r="A51" s="174" t="s">
        <x:v>73</x:v>
      </x:c>
      <x:c r="B51" s="183" t="n">
        <x:f>'항목별 평가'!B56</x:f>
        <x:v>2</x:v>
      </x:c>
      <x:c r="C51" s="176" t="n">
        <x:f>IFERROR(B51/B$46,0)</x:f>
        <x:v>0.2</x:v>
      </x:c>
      <x:c r="D51" s="176" t="n">
        <x:f>C51*D$46</x:f>
        <x:v>0.001730769230769231</x:v>
      </x:c>
      <x:c r="H51" s="238"/>
      <x:c r="I51" s="233" t="s">
        <x:v>4</x:v>
      </x:c>
      <x:c r="J51" s="245" t="s">
        <x:v>5</x:v>
      </x:c>
      <x:c r="K51" s="233" t="s">
        <x:v>4</x:v>
      </x:c>
      <x:c r="L51" s="243" t="s">
        <x:v>5</x:v>
      </x:c>
    </x:row>
    <x:row r="52" ht="22" customHeight="1">
      <x:c r="A52" s="170" t="s">
        <x:v>74</x:v>
      </x:c>
      <x:c r="B52" s="171" t="n">
        <x:f>SUM(B53:B57)</x:f>
        <x:v>11</x:v>
      </x:c>
      <x:c r="C52" s="172" t="n">
        <x:f>SUM(C53:C57)</x:f>
        <x:v>1</x:v>
      </x:c>
      <x:c r="D52" s="173" t="n">
        <x:f>D28*J45</x:f>
        <x:v>0.0057692307692307696</x:v>
      </x:c>
      <x:c r="H52" s="238" t="s">
        <x:v>75</x:v>
      </x:c>
      <x:c r="I52" s="239">
        <x:v>2</x:v>
      </x:c>
      <x:c r="J52" s="247" t="n">
        <x:f>IFERROR(I52/I$55,0)</x:f>
        <x:v>0.4</x:v>
      </x:c>
      <x:c r="K52" s="239">
        <x:v>2</x:v>
      </x:c>
      <x:c r="L52" s="247" t="n">
        <x:f>IFERROR(K52/K$55,0)</x:f>
        <x:v>0.4</x:v>
      </x:c>
    </x:row>
    <x:row r="53" ht="20" customHeight="1">
      <x:c r="A53" s="180" t="s">
        <x:v>76</x:v>
      </x:c>
      <x:c r="B53" s="185" t="n">
        <x:f>'항목별 평가'!B58</x:f>
        <x:v>2</x:v>
      </x:c>
      <x:c r="C53" s="182" t="n">
        <x:f>IFERROR(B53/B$52,0)</x:f>
        <x:v>0.18181818181818182</x:v>
      </x:c>
      <x:c r="D53" s="182" t="n">
        <x:f>C53*D$52</x:f>
        <x:v>0.001048951048951049</x:v>
      </x:c>
      <x:c r="H53" s="238" t="s">
        <x:v>77</x:v>
      </x:c>
      <x:c r="I53" s="239">
        <x:v>1</x:v>
      </x:c>
      <x:c r="J53" s="247" t="n">
        <x:f>IFERROR(I53/I$55,0)</x:f>
        <x:v>0.2</x:v>
      </x:c>
      <x:c r="K53" s="239">
        <x:v>1</x:v>
      </x:c>
      <x:c r="L53" s="247" t="n">
        <x:f>IFERROR(K53/K$55,0)</x:f>
        <x:v>0.2</x:v>
      </x:c>
    </x:row>
    <x:row r="54" ht="20" customHeight="1">
      <x:c r="A54" s="174" t="s">
        <x:v>78</x:v>
      </x:c>
      <x:c r="B54" s="183" t="n">
        <x:f>'항목별 평가'!B59</x:f>
        <x:v>2</x:v>
      </x:c>
      <x:c r="C54" s="176" t="n">
        <x:f>IFERROR(B54/B$52,0)</x:f>
        <x:v>0.18181818181818182</x:v>
      </x:c>
      <x:c r="D54" s="176" t="n">
        <x:f>C54*D$52</x:f>
        <x:v>0.001048951048951049</x:v>
      </x:c>
      <x:c r="H54" s="238" t="s">
        <x:v>79</x:v>
      </x:c>
      <x:c r="I54" s="239">
        <x:v>2</x:v>
      </x:c>
      <x:c r="J54" s="247" t="n">
        <x:f>IFERROR(I54/I$55,0)</x:f>
        <x:v>0.4</x:v>
      </x:c>
      <x:c r="K54" s="239">
        <x:v>2</x:v>
      </x:c>
      <x:c r="L54" s="247" t="n">
        <x:f>IFERROR(K54/K$55,0)</x:f>
        <x:v>0.4</x:v>
      </x:c>
    </x:row>
    <x:row r="55" ht="20" customHeight="1">
      <x:c r="A55" s="180" t="s">
        <x:v>80</x:v>
      </x:c>
      <x:c r="B55" s="185" t="n">
        <x:f>'항목별 평가'!B60</x:f>
        <x:v>3</x:v>
      </x:c>
      <x:c r="C55" s="182" t="n">
        <x:f>IFERROR(B55/B$52,0)</x:f>
        <x:v>0.2727272727272727</x:v>
      </x:c>
      <x:c r="D55" s="182" t="n">
        <x:f>C55*D$52</x:f>
        <x:v>0.0015734265734265733</x:v>
      </x:c>
      <x:c r="H55" s="241" t="s">
        <x:v>2</x:v>
      </x:c>
      <x:c r="I55" s="121" t="n">
        <x:f>SUM(I52:I54)</x:f>
        <x:v>5</x:v>
      </x:c>
      <x:c r="J55" s="244" t="n">
        <x:f>IFERROR(SUM(J52:J54),0)</x:f>
        <x:v>1</x:v>
      </x:c>
      <x:c r="K55" s="121" t="n">
        <x:f>SUM(K52:K54)</x:f>
        <x:v>5</x:v>
      </x:c>
      <x:c r="L55" s="244" t="n">
        <x:f>IFERROR(SUM(L52:L54),0)</x:f>
        <x:v>1</x:v>
      </x:c>
    </x:row>
    <x:row r="56" ht="20" customHeight="1">
      <x:c r="A56" s="174" t="s">
        <x:v>81</x:v>
      </x:c>
      <x:c r="B56" s="183" t="n">
        <x:f>'항목별 평가'!B61</x:f>
        <x:v>2</x:v>
      </x:c>
      <x:c r="C56" s="176" t="n">
        <x:f>IFERROR(B56/B$52,0)</x:f>
        <x:v>0.18181818181818182</x:v>
      </x:c>
      <x:c r="D56" s="176" t="n">
        <x:f>C56*D$52</x:f>
        <x:v>0.001048951048951049</x:v>
      </x:c>
      <x:c r="H56" s="121"/>
      <x:c r="I56" s="121"/>
      <x:c r="J56" s="244"/>
      <x:c r="K56" s="121"/>
      <x:c r="L56" s="244"/>
    </x:row>
    <x:row r="57" ht="20" customHeight="1">
      <x:c r="A57" s="180" t="s">
        <x:v>82</x:v>
      </x:c>
      <x:c r="B57" s="185" t="n">
        <x:f>'항목별 평가'!B62</x:f>
        <x:v>2</x:v>
      </x:c>
      <x:c r="C57" s="182" t="n">
        <x:f>IFERROR(B57/B$52,0)</x:f>
        <x:v>0.18181818181818182</x:v>
      </x:c>
      <x:c r="D57" s="182" t="n">
        <x:f>C57*D$52</x:f>
        <x:v>0.001048951048951049</x:v>
      </x:c>
      <x:c r="H57" s="93" t="s">
        <x:v>83</x:v>
      </x:c>
      <x:c r="I57" s="235" t="s">
        <x:v>1</x:v>
      </x:c>
      <x:c r="J57" s="246"/>
      <x:c r="K57" s="235" t="s">
        <x:v>9</x:v>
      </x:c>
      <x:c r="L57" s="249"/>
    </x:row>
    <x:row r="58" ht="22" customHeight="1">
      <x:c r="A58" s="170" t="s">
        <x:v>84</x:v>
      </x:c>
      <x:c r="B58" s="171" t="n">
        <x:f>SUM(B59:B62)</x:f>
        <x:v>7</x:v>
      </x:c>
      <x:c r="C58" s="172" t="n">
        <x:f>SUM(C59:C62)</x:f>
        <x:v>1</x:v>
      </x:c>
      <x:c r="D58" s="173" t="n">
        <x:f>D28*J46</x:f>
        <x:v>0.0057692307692307696</x:v>
      </x:c>
      <x:c r="H58" s="237"/>
      <x:c r="I58" s="233" t="s">
        <x:v>1</x:v>
      </x:c>
      <x:c r="J58" s="245"/>
      <x:c r="K58" s="233" t="s">
        <x:v>9</x:v>
      </x:c>
      <x:c r="L58" s="243"/>
    </x:row>
    <x:row r="59" ht="20" customHeight="1">
      <x:c r="A59" s="174" t="s">
        <x:v>85</x:v>
      </x:c>
      <x:c r="B59" s="183" t="n">
        <x:f>'항목별 평가'!B64</x:f>
        <x:v>2</x:v>
      </x:c>
      <x:c r="C59" s="176" t="n">
        <x:f>IFERROR(B59/B$58,0)</x:f>
        <x:v>0.2857142857142857</x:v>
      </x:c>
      <x:c r="D59" s="176" t="n">
        <x:f>C59*D$58</x:f>
        <x:v>0.0016483516483516484</x:v>
      </x:c>
      <x:c r="H59" s="238"/>
      <x:c r="I59" s="233" t="s">
        <x:v>4</x:v>
      </x:c>
      <x:c r="J59" s="245" t="s">
        <x:v>5</x:v>
      </x:c>
      <x:c r="K59" s="233" t="s">
        <x:v>4</x:v>
      </x:c>
      <x:c r="L59" s="243" t="s">
        <x:v>5</x:v>
      </x:c>
    </x:row>
    <x:row r="60" ht="20" customHeight="1">
      <x:c r="A60" s="180" t="s">
        <x:v>86</x:v>
      </x:c>
      <x:c r="B60" s="185" t="n">
        <x:f>'항목별 평가'!B65</x:f>
        <x:v>2</x:v>
      </x:c>
      <x:c r="C60" s="182" t="n">
        <x:f>IFERROR(B60/B$58,0)</x:f>
        <x:v>0.2857142857142857</x:v>
      </x:c>
      <x:c r="D60" s="182" t="n">
        <x:f>C60*D$58</x:f>
        <x:v>0.0016483516483516484</x:v>
      </x:c>
      <x:c r="H60" s="238" t="s">
        <x:v>87</x:v>
      </x:c>
      <x:c r="I60" s="239">
        <x:v>3</x:v>
      </x:c>
      <x:c r="J60" s="247" t="n">
        <x:f>IFERROR(I60/I$66,0)</x:f>
        <x:v>0.2</x:v>
      </x:c>
      <x:c r="K60" s="239">
        <x:v>2</x:v>
      </x:c>
      <x:c r="L60" s="247" t="n">
        <x:f>IFERROR(K60/K$66,0)</x:f>
        <x:v>0.14285714285714285</x:v>
      </x:c>
    </x:row>
    <x:row r="61" ht="20" customHeight="1">
      <x:c r="A61" s="174" t="s">
        <x:v>88</x:v>
      </x:c>
      <x:c r="B61" s="183" t="n">
        <x:f>'항목별 평가'!B66</x:f>
        <x:v>2</x:v>
      </x:c>
      <x:c r="C61" s="176" t="n">
        <x:f>IFERROR(B61/B$58,0)</x:f>
        <x:v>0.2857142857142857</x:v>
      </x:c>
      <x:c r="D61" s="176" t="n">
        <x:f>C61*D$58</x:f>
        <x:v>0.0016483516483516484</x:v>
      </x:c>
      <x:c r="H61" s="238" t="s">
        <x:v>89</x:v>
      </x:c>
      <x:c r="I61" s="239">
        <x:v>2</x:v>
      </x:c>
      <x:c r="J61" s="247" t="n">
        <x:f>IFERROR(I61/I$66,0)</x:f>
        <x:v>0.13333333333333333</x:v>
      </x:c>
      <x:c r="K61" s="239">
        <x:v>2</x:v>
      </x:c>
      <x:c r="L61" s="247" t="n">
        <x:f>IFERROR(K61/K$66,0)</x:f>
        <x:v>0.14285714285714285</x:v>
      </x:c>
    </x:row>
    <x:row r="62" ht="20" customHeight="1">
      <x:c r="A62" s="180" t="s">
        <x:v>90</x:v>
      </x:c>
      <x:c r="B62" s="185" t="n">
        <x:f>'항목별 평가'!B67</x:f>
        <x:v>1</x:v>
      </x:c>
      <x:c r="C62" s="182" t="n">
        <x:f>IFERROR(B62/B$58,0)</x:f>
        <x:v>0.14285714285714285</x:v>
      </x:c>
      <x:c r="D62" s="182" t="n">
        <x:f>C62*D$58</x:f>
        <x:v>0.0008241758241758242</x:v>
      </x:c>
      <x:c r="H62" s="238" t="s">
        <x:v>91</x:v>
      </x:c>
      <x:c r="I62" s="239">
        <x:v>3</x:v>
      </x:c>
      <x:c r="J62" s="247" t="n">
        <x:f>IFERROR(I62/I$66,0)</x:f>
        <x:v>0.2</x:v>
      </x:c>
      <x:c r="K62" s="239">
        <x:v>3</x:v>
      </x:c>
      <x:c r="L62" s="247" t="n">
        <x:f>IFERROR(K62/K$66,0)</x:f>
        <x:v>0.21428571428571427</x:v>
      </x:c>
    </x:row>
    <x:row r="63" ht="24" customHeight="1">
      <x:c r="A63" s="162" t="s">
        <x:v>92</x:v>
      </x:c>
      <x:c r="B63" s="188" t="s">
        <x:v>4</x:v>
      </x:c>
      <x:c r="C63" s="189" t="s">
        <x:v>5</x:v>
      </x:c>
      <x:c r="D63" s="165" t="n">
        <x:f>P4*J10</x:f>
        <x:v>0.0375</x:v>
      </x:c>
      <x:c r="H63" s="238" t="s">
        <x:v>93</x:v>
      </x:c>
      <x:c r="I63" s="239">
        <x:v>3</x:v>
      </x:c>
      <x:c r="J63" s="247" t="n">
        <x:f>IFERROR(I63/I$66,0)</x:f>
        <x:v>0.2</x:v>
      </x:c>
      <x:c r="K63" s="239">
        <x:v>3</x:v>
      </x:c>
      <x:c r="L63" s="247" t="n">
        <x:f>IFERROR(K63/K$66,0)</x:f>
        <x:v>0.21428571428571427</x:v>
      </x:c>
    </x:row>
    <x:row r="64" ht="22" customHeight="1">
      <x:c r="A64" s="170" t="s">
        <x:v>94</x:v>
      </x:c>
      <x:c r="B64" s="171" t="n">
        <x:f>SUM(B65:B68)</x:f>
        <x:v>6</x:v>
      </x:c>
      <x:c r="C64" s="172" t="n">
        <x:f>SUM(C65:C68)</x:f>
        <x:v>0.9999999999999999</x:v>
      </x:c>
      <x:c r="D64" s="173" t="n">
        <x:f>D63*J52</x:f>
        <x:v>0.015</x:v>
      </x:c>
      <x:c r="H64" s="238" t="s">
        <x:v>95</x:v>
      </x:c>
      <x:c r="I64" s="239">
        <x:v>2</x:v>
      </x:c>
      <x:c r="J64" s="247" t="n">
        <x:f>IFERROR(I64/I$66,0)</x:f>
        <x:v>0.13333333333333333</x:v>
      </x:c>
      <x:c r="K64" s="239">
        <x:v>2</x:v>
      </x:c>
      <x:c r="L64" s="247" t="n">
        <x:f>IFERROR(K64/K$66,0)</x:f>
        <x:v>0.14285714285714285</x:v>
      </x:c>
    </x:row>
    <x:row r="65" ht="20" customHeight="1">
      <x:c r="A65" s="174" t="s">
        <x:v>96</x:v>
      </x:c>
      <x:c r="B65" s="183" t="n">
        <x:f>'항목별 평가'!B70</x:f>
        <x:v>1</x:v>
      </x:c>
      <x:c r="C65" s="176" t="n">
        <x:f>IFERROR(B65/B$64,0)</x:f>
        <x:v>0.16666666666666666</x:v>
      </x:c>
      <x:c r="D65" s="176" t="n">
        <x:f>C65*D$64</x:f>
        <x:v>0.0024999999999999996</x:v>
      </x:c>
      <x:c r="H65" s="238" t="s">
        <x:v>97</x:v>
      </x:c>
      <x:c r="I65" s="239">
        <x:v>2</x:v>
      </x:c>
      <x:c r="J65" s="247" t="n">
        <x:f>IFERROR(I65/I$66,0)</x:f>
        <x:v>0.13333333333333333</x:v>
      </x:c>
      <x:c r="K65" s="239">
        <x:v>2</x:v>
      </x:c>
      <x:c r="L65" s="247" t="n">
        <x:f>IFERROR(K65/K$66,0)</x:f>
        <x:v>0.14285714285714285</x:v>
      </x:c>
    </x:row>
    <x:row r="66" ht="20" customHeight="1">
      <x:c r="A66" s="180" t="s">
        <x:v>98</x:v>
      </x:c>
      <x:c r="B66" s="185" t="n">
        <x:f>'항목별 평가'!B71</x:f>
        <x:v>2</x:v>
      </x:c>
      <x:c r="C66" s="182" t="n">
        <x:f>IFERROR(B66/B$64,0)</x:f>
        <x:v>0.3333333333333333</x:v>
      </x:c>
      <x:c r="D66" s="182" t="n">
        <x:f>C66*D$64</x:f>
        <x:v>0.004999999999999999</x:v>
      </x:c>
      <x:c r="H66" s="241" t="s">
        <x:v>2</x:v>
      </x:c>
      <x:c r="I66" s="121" t="n">
        <x:f>SUM(I60:I65)</x:f>
        <x:v>15</x:v>
      </x:c>
      <x:c r="J66" s="244" t="n">
        <x:f>IFERROR(SUM(J60:J65),0)</x:f>
        <x:v>1</x:v>
      </x:c>
      <x:c r="K66" s="121" t="n">
        <x:f>SUM(K60:K65)</x:f>
        <x:v>14</x:v>
      </x:c>
      <x:c r="L66" s="244" t="n">
        <x:f>IFERROR(SUM(L60:L65),0)</x:f>
        <x:v>1</x:v>
      </x:c>
    </x:row>
    <x:row r="67" ht="20" customHeight="1">
      <x:c r="A67" s="174" t="s">
        <x:v>99</x:v>
      </x:c>
      <x:c r="B67" s="183" t="n">
        <x:f>'항목별 평가'!B72</x:f>
        <x:v>2</x:v>
      </x:c>
      <x:c r="C67" s="176" t="n">
        <x:f>IFERROR(B67/B$64,0)</x:f>
        <x:v>0.3333333333333333</x:v>
      </x:c>
      <x:c r="D67" s="176" t="n">
        <x:f>C67*D$64</x:f>
        <x:v>0.004999999999999999</x:v>
      </x:c>
      <x:c r="H67" s="121"/>
      <x:c r="I67" s="121"/>
      <x:c r="J67" s="244"/>
      <x:c r="K67" s="121"/>
      <x:c r="L67" s="244"/>
    </x:row>
    <x:row r="68" ht="20" customHeight="1">
      <x:c r="A68" s="180" t="s">
        <x:v>100</x:v>
      </x:c>
      <x:c r="B68" s="185" t="n">
        <x:f>'항목별 평가'!B73</x:f>
        <x:v>1</x:v>
      </x:c>
      <x:c r="C68" s="182" t="n">
        <x:f>IFERROR(B68/B$64,0)</x:f>
        <x:v>0.16666666666666666</x:v>
      </x:c>
      <x:c r="D68" s="182" t="n">
        <x:f>C68*D$64</x:f>
        <x:v>0.0024999999999999996</x:v>
      </x:c>
      <x:c r="H68" s="93" t="s">
        <x:v>101</x:v>
      </x:c>
      <x:c r="I68" s="235" t="s">
        <x:v>1</x:v>
      </x:c>
      <x:c r="J68" s="246"/>
      <x:c r="K68" s="235" t="s">
        <x:v>9</x:v>
      </x:c>
      <x:c r="L68" s="249"/>
    </x:row>
    <x:row r="69" ht="22" customHeight="1">
      <x:c r="A69" s="170" t="s">
        <x:v>102</x:v>
      </x:c>
      <x:c r="B69" s="171" t="n">
        <x:f>SUM(B70:B73)</x:f>
        <x:v>6</x:v>
      </x:c>
      <x:c r="C69" s="172" t="n">
        <x:f>SUM(C70:C73)</x:f>
        <x:v>1</x:v>
      </x:c>
      <x:c r="D69" s="173" t="n">
        <x:f>D63*J53</x:f>
        <x:v>0.0075</x:v>
      </x:c>
      <x:c r="H69" s="237"/>
      <x:c r="I69" s="233" t="s">
        <x:v>1</x:v>
      </x:c>
      <x:c r="J69" s="245"/>
      <x:c r="K69" s="233" t="s">
        <x:v>9</x:v>
      </x:c>
      <x:c r="L69" s="243"/>
    </x:row>
    <x:row r="70" ht="20" customHeight="1">
      <x:c r="A70" s="174" t="s">
        <x:v>103</x:v>
      </x:c>
      <x:c r="B70" s="183" t="n">
        <x:f>'항목별 평가'!B75</x:f>
        <x:v>1</x:v>
      </x:c>
      <x:c r="C70" s="176" t="n">
        <x:f>IFERROR(B70/B$69,0)</x:f>
        <x:v>0.16666666666666666</x:v>
      </x:c>
      <x:c r="D70" s="176" t="n">
        <x:f>C70*D$69</x:f>
        <x:v>0.0012499999999999998</x:v>
      </x:c>
      <x:c r="H70" s="238"/>
      <x:c r="I70" s="233" t="s">
        <x:v>4</x:v>
      </x:c>
      <x:c r="J70" s="245" t="s">
        <x:v>5</x:v>
      </x:c>
      <x:c r="K70" s="233" t="s">
        <x:v>4</x:v>
      </x:c>
      <x:c r="L70" s="243" t="s">
        <x:v>5</x:v>
      </x:c>
    </x:row>
    <x:row r="71" ht="20" customHeight="1">
      <x:c r="A71" s="180" t="s">
        <x:v>104</x:v>
      </x:c>
      <x:c r="B71" s="185" t="n">
        <x:f>'항목별 평가'!B76</x:f>
        <x:v>1</x:v>
      </x:c>
      <x:c r="C71" s="182" t="n">
        <x:f>IFERROR(B71/B$69,0)</x:f>
        <x:v>0.16666666666666666</x:v>
      </x:c>
      <x:c r="D71" s="182" t="n">
        <x:f>C71*D$69</x:f>
        <x:v>0.0012499999999999998</x:v>
      </x:c>
      <x:c r="H71" s="238" t="s">
        <x:v>105</x:v>
      </x:c>
      <x:c r="I71" s="239">
        <x:v>2</x:v>
      </x:c>
      <x:c r="J71" s="247" t="n">
        <x:f>IFERROR(I71/I$73,0)</x:f>
        <x:v>0.5</x:v>
      </x:c>
      <x:c r="K71" s="239">
        <x:v>4</x:v>
      </x:c>
      <x:c r="L71" s="247" t="n">
        <x:f>IFERROR(K71/K$73,0)</x:f>
        <x:v>0.5</x:v>
      </x:c>
    </x:row>
    <x:row r="72" ht="20" customHeight="1">
      <x:c r="A72" s="174" t="s">
        <x:v>106</x:v>
      </x:c>
      <x:c r="B72" s="183" t="n">
        <x:f>'항목별 평가'!B77</x:f>
        <x:v>2</x:v>
      </x:c>
      <x:c r="C72" s="176" t="n">
        <x:f>IFERROR(B72/B$69,0)</x:f>
        <x:v>0.3333333333333333</x:v>
      </x:c>
      <x:c r="D72" s="176" t="n">
        <x:f>C72*D$69</x:f>
        <x:v>0.0024999999999999996</x:v>
      </x:c>
      <x:c r="H72" s="238" t="s">
        <x:v>107</x:v>
      </x:c>
      <x:c r="I72" s="239">
        <x:v>2</x:v>
      </x:c>
      <x:c r="J72" s="247" t="n">
        <x:f>IFERROR(I72/I$73,0)</x:f>
        <x:v>0.5</x:v>
      </x:c>
      <x:c r="K72" s="239">
        <x:v>4</x:v>
      </x:c>
      <x:c r="L72" s="247" t="n">
        <x:f>IFERROR(K72/K$73,0)</x:f>
        <x:v>0.5</x:v>
      </x:c>
    </x:row>
    <x:row r="73" ht="20" customHeight="1">
      <x:c r="A73" s="180" t="s">
        <x:v>108</x:v>
      </x:c>
      <x:c r="B73" s="185" t="n">
        <x:f>'항목별 평가'!B78</x:f>
        <x:v>2</x:v>
      </x:c>
      <x:c r="C73" s="182" t="n">
        <x:f>IFERROR(B73/B$69,0)</x:f>
        <x:v>0.3333333333333333</x:v>
      </x:c>
      <x:c r="D73" s="182" t="n">
        <x:f>C73*D$69</x:f>
        <x:v>0.0024999999999999996</x:v>
      </x:c>
      <x:c r="H73" s="241" t="s">
        <x:v>2</x:v>
      </x:c>
      <x:c r="I73" s="121" t="n">
        <x:f>SUM(I71:I72)</x:f>
        <x:v>4</x:v>
      </x:c>
      <x:c r="J73" s="244" t="n">
        <x:f>IFERROR(SUM(J71:J72),0)</x:f>
        <x:v>1</x:v>
      </x:c>
      <x:c r="K73" s="121" t="n">
        <x:f>SUM(K71:K72)</x:f>
        <x:v>8</x:v>
      </x:c>
      <x:c r="L73" s="244" t="n">
        <x:f>IFERROR(SUM(L71:L72),0)</x:f>
        <x:v>1</x:v>
      </x:c>
    </x:row>
    <x:row r="74" ht="22" customHeight="1">
      <x:c r="A74" s="170" t="s">
        <x:v>109</x:v>
      </x:c>
      <x:c r="B74" s="171" t="n">
        <x:f>SUM(B75:B81)</x:f>
        <x:v>15</x:v>
      </x:c>
      <x:c r="C74" s="172" t="n">
        <x:f>SUM(C75:C81)</x:f>
        <x:v>1</x:v>
      </x:c>
      <x:c r="D74" s="173" t="n">
        <x:f>D63*J54</x:f>
        <x:v>0.015</x:v>
      </x:c>
      <x:c r="H74" s="121"/>
      <x:c r="I74" s="121"/>
      <x:c r="J74" s="244"/>
      <x:c r="K74" s="121"/>
      <x:c r="L74" s="244"/>
    </x:row>
    <x:row r="75" ht="20" customHeight="1">
      <x:c r="A75" s="174" t="s">
        <x:v>110</x:v>
      </x:c>
      <x:c r="B75" s="183" t="n">
        <x:f>'항목별 평가'!B80</x:f>
        <x:v>3</x:v>
      </x:c>
      <x:c r="C75" s="176" t="n">
        <x:f>IFERROR(B75/B$74,0)</x:f>
        <x:v>0.2</x:v>
      </x:c>
      <x:c r="D75" s="176" t="n">
        <x:f>C75*D$74</x:f>
        <x:v>0.003</x:v>
      </x:c>
      <x:c r="H75" s="93" t="s">
        <x:v>111</x:v>
      </x:c>
      <x:c r="I75" s="235" t="s">
        <x:v>1</x:v>
      </x:c>
      <x:c r="J75" s="246"/>
      <x:c r="K75" s="235" t="s">
        <x:v>9</x:v>
      </x:c>
      <x:c r="L75" s="249"/>
    </x:row>
    <x:row r="76" ht="20" customHeight="1">
      <x:c r="A76" s="180" t="s">
        <x:v>112</x:v>
      </x:c>
      <x:c r="B76" s="185" t="n">
        <x:f>'항목별 평가'!B81</x:f>
        <x:v>2</x:v>
      </x:c>
      <x:c r="C76" s="182" t="n">
        <x:f>IFERROR(B76/B$74,0)</x:f>
        <x:v>0.13333333333333333</x:v>
      </x:c>
      <x:c r="D76" s="182" t="n">
        <x:f>C76*D$74</x:f>
        <x:v>0.002</x:v>
      </x:c>
      <x:c r="H76" s="237"/>
      <x:c r="I76" s="233" t="s">
        <x:v>1</x:v>
      </x:c>
      <x:c r="J76" s="245"/>
      <x:c r="K76" s="233" t="s">
        <x:v>9</x:v>
      </x:c>
      <x:c r="L76" s="243"/>
    </x:row>
    <x:row r="77" ht="20" customHeight="1">
      <x:c r="A77" s="174" t="s">
        <x:v>113</x:v>
      </x:c>
      <x:c r="B77" s="183" t="n">
        <x:f>'항목별 평가'!B82</x:f>
        <x:v>1</x:v>
      </x:c>
      <x:c r="C77" s="176" t="n">
        <x:f>IFERROR(B77/B$74,0)</x:f>
        <x:v>0.06666666666666667</x:v>
      </x:c>
      <x:c r="D77" s="176" t="n">
        <x:f>C77*D$74</x:f>
        <x:v>0.001</x:v>
      </x:c>
      <x:c r="H77" s="238"/>
      <x:c r="I77" s="233" t="s">
        <x:v>4</x:v>
      </x:c>
      <x:c r="J77" s="245" t="s">
        <x:v>5</x:v>
      </x:c>
      <x:c r="K77" s="233" t="s">
        <x:v>4</x:v>
      </x:c>
      <x:c r="L77" s="243" t="s">
        <x:v>5</x:v>
      </x:c>
    </x:row>
    <x:row r="78" ht="20" customHeight="1">
      <x:c r="A78" s="180" t="s">
        <x:v>114</x:v>
      </x:c>
      <x:c r="B78" s="185" t="n">
        <x:f>'항목별 평가'!B83</x:f>
        <x:v>3</x:v>
      </x:c>
      <x:c r="C78" s="182" t="n">
        <x:f>IFERROR(B78/B$74,0)</x:f>
        <x:v>0.2</x:v>
      </x:c>
      <x:c r="D78" s="182" t="n">
        <x:f>C78*D$74</x:f>
        <x:v>0.003</x:v>
      </x:c>
      <x:c r="H78" s="238" t="s">
        <x:v>115</x:v>
      </x:c>
      <x:c r="I78" s="239">
        <x:v>2</x:v>
      </x:c>
      <x:c r="J78" s="247" t="n">
        <x:f>IFERROR(I78/I$82,0)</x:f>
        <x:v>0.25</x:v>
      </x:c>
      <x:c r="K78" s="239">
        <x:v>1</x:v>
      </x:c>
      <x:c r="L78" s="247" t="n">
        <x:f>IFERROR(K78/K$82,0)</x:f>
        <x:v>0.1111111111111111</x:v>
      </x:c>
    </x:row>
    <x:row r="79" ht="20" customHeight="1">
      <x:c r="A79" s="174" t="s">
        <x:v>116</x:v>
      </x:c>
      <x:c r="B79" s="183" t="n">
        <x:f>'항목별 평가'!B84</x:f>
        <x:v>2</x:v>
      </x:c>
      <x:c r="C79" s="176" t="n">
        <x:f>IFERROR(B79/B$74,0)</x:f>
        <x:v>0.13333333333333333</x:v>
      </x:c>
      <x:c r="D79" s="176" t="n">
        <x:f>C79*D$74</x:f>
        <x:v>0.002</x:v>
      </x:c>
      <x:c r="H79" s="238" t="s">
        <x:v>117</x:v>
      </x:c>
      <x:c r="I79" s="239">
        <x:v>2</x:v>
      </x:c>
      <x:c r="J79" s="247" t="n">
        <x:f>IFERROR(I79/I$82,0)</x:f>
        <x:v>0.25</x:v>
      </x:c>
      <x:c r="K79" s="239">
        <x:v>3</x:v>
      </x:c>
      <x:c r="L79" s="247" t="n">
        <x:f>IFERROR(K79/K$82,0)</x:f>
        <x:v>0.3333333333333333</x:v>
      </x:c>
    </x:row>
    <x:row r="80" ht="20" customHeight="1">
      <x:c r="A80" s="180" t="s">
        <x:v>118</x:v>
      </x:c>
      <x:c r="B80" s="185" t="n">
        <x:f>'항목별 평가'!B85</x:f>
        <x:v>2</x:v>
      </x:c>
      <x:c r="C80" s="182" t="n">
        <x:f>IFERROR(B80/B$74,0)</x:f>
        <x:v>0.13333333333333333</x:v>
      </x:c>
      <x:c r="D80" s="182" t="n">
        <x:f>C80*D$74</x:f>
        <x:v>0.002</x:v>
      </x:c>
      <x:c r="H80" s="238" t="s">
        <x:v>119</x:v>
      </x:c>
      <x:c r="I80" s="239">
        <x:v>2</x:v>
      </x:c>
      <x:c r="J80" s="247" t="n">
        <x:f>IFERROR(I80/I$82,0)</x:f>
        <x:v>0.25</x:v>
      </x:c>
      <x:c r="K80" s="239">
        <x:v>3</x:v>
      </x:c>
      <x:c r="L80" s="247" t="n">
        <x:f>IFERROR(K80/K$82,0)</x:f>
        <x:v>0.3333333333333333</x:v>
      </x:c>
    </x:row>
    <x:row r="81" ht="20" customHeight="1">
      <x:c r="A81" s="174" t="s">
        <x:v>120</x:v>
      </x:c>
      <x:c r="B81" s="183" t="n">
        <x:f>'항목별 평가'!B86</x:f>
        <x:v>2</x:v>
      </x:c>
      <x:c r="C81" s="176" t="n">
        <x:f>IFERROR(B81/B$74,0)</x:f>
        <x:v>0.13333333333333333</x:v>
      </x:c>
      <x:c r="D81" s="176" t="n">
        <x:f>C81*D$74</x:f>
        <x:v>0.002</x:v>
      </x:c>
      <x:c r="H81" s="238" t="s">
        <x:v>121</x:v>
      </x:c>
      <x:c r="I81" s="239">
        <x:v>2</x:v>
      </x:c>
      <x:c r="J81" s="247" t="n">
        <x:f>IFERROR(I81/I$82,0)</x:f>
        <x:v>0.25</x:v>
      </x:c>
      <x:c r="K81" s="239">
        <x:v>2</x:v>
      </x:c>
      <x:c r="L81" s="247" t="n">
        <x:f>IFERROR(K81/K$82,0)</x:f>
        <x:v>0.2222222222222222</x:v>
      </x:c>
    </x:row>
    <x:row r="82" ht="24" customHeight="1">
      <x:c r="A82" s="162" t="s">
        <x:v>122</x:v>
      </x:c>
      <x:c r="B82" s="188" t="s">
        <x:v>4</x:v>
      </x:c>
      <x:c r="C82" s="189" t="s">
        <x:v>5</x:v>
      </x:c>
      <x:c r="D82" s="165" t="n">
        <x:f>P4*J11</x:f>
        <x:v>0.05</x:v>
      </x:c>
      <x:c r="H82" s="241" t="s">
        <x:v>2</x:v>
      </x:c>
      <x:c r="I82" s="121" t="n">
        <x:f>SUM(I78:I81)</x:f>
        <x:v>8</x:v>
      </x:c>
      <x:c r="J82" s="244" t="n">
        <x:f>IFERROR(SUM(J78:J81),0)</x:f>
        <x:v>1</x:v>
      </x:c>
      <x:c r="K82" s="121" t="n">
        <x:f>SUM(K78:K81)</x:f>
        <x:v>9</x:v>
      </x:c>
      <x:c r="L82" s="244" t="n">
        <x:f>IFERROR(SUM(L78:L81),0)</x:f>
        <x:v>0.9999999999999999</x:v>
      </x:c>
    </x:row>
    <x:row r="83" ht="22" customHeight="1">
      <x:c r="A83" s="170" t="s">
        <x:v>123</x:v>
      </x:c>
      <x:c r="B83" s="171" t="n">
        <x:f>SUM(B84:B88)</x:f>
        <x:v>13</x:v>
      </x:c>
      <x:c r="C83" s="172" t="n">
        <x:f>SUM(C84:C88)</x:f>
        <x:v>1.0000000000000002</x:v>
      </x:c>
      <x:c r="D83" s="173" t="n">
        <x:f>D82*J60</x:f>
        <x:v>0.010000000000000002</x:v>
      </x:c>
      <x:c r="H83" s="121"/>
      <x:c r="I83" s="121"/>
      <x:c r="J83" s="244"/>
      <x:c r="K83" s="121"/>
      <x:c r="L83" s="244"/>
    </x:row>
    <x:row r="84" ht="20" customHeight="1">
      <x:c r="A84" s="180" t="s">
        <x:v>124</x:v>
      </x:c>
      <x:c r="B84" s="185" t="n">
        <x:f>'항목별 평가'!B89</x:f>
        <x:v>2</x:v>
      </x:c>
      <x:c r="C84" s="182" t="n">
        <x:f>IFERROR(B84/B$83,0)</x:f>
        <x:v>0.15384615384615385</x:v>
      </x:c>
      <x:c r="D84" s="182" t="n">
        <x:f>C84*D$83</x:f>
        <x:v>0.001538461538461539</x:v>
      </x:c>
      <x:c r="H84" s="93" t="s">
        <x:v>125</x:v>
      </x:c>
      <x:c r="I84" s="235" t="s">
        <x:v>1</x:v>
      </x:c>
      <x:c r="J84" s="246"/>
      <x:c r="K84" s="235" t="s">
        <x:v>9</x:v>
      </x:c>
      <x:c r="L84" s="249"/>
    </x:row>
    <x:row r="85" ht="20" customHeight="1">
      <x:c r="A85" s="174" t="s">
        <x:v>126</x:v>
      </x:c>
      <x:c r="B85" s="183" t="n">
        <x:f>'항목별 평가'!B90</x:f>
        <x:v>2</x:v>
      </x:c>
      <x:c r="C85" s="176" t="n">
        <x:f>IFERROR(B85/B$83,0)</x:f>
        <x:v>0.15384615384615385</x:v>
      </x:c>
      <x:c r="D85" s="176" t="n">
        <x:f>C85*D$83</x:f>
        <x:v>0.001538461538461539</x:v>
      </x:c>
      <x:c r="H85" s="237"/>
      <x:c r="I85" s="233" t="s">
        <x:v>1</x:v>
      </x:c>
      <x:c r="J85" s="245"/>
      <x:c r="K85" s="233" t="s">
        <x:v>9</x:v>
      </x:c>
      <x:c r="L85" s="243"/>
    </x:row>
    <x:row r="86" ht="20" customHeight="1">
      <x:c r="A86" s="180" t="s">
        <x:v>127</x:v>
      </x:c>
      <x:c r="B86" s="185" t="n">
        <x:f>'항목별 평가'!B91</x:f>
        <x:v>3</x:v>
      </x:c>
      <x:c r="C86" s="182" t="n">
        <x:f>IFERROR(B86/B$83,0)</x:f>
        <x:v>0.23076923076923078</x:v>
      </x:c>
      <x:c r="D86" s="182" t="n">
        <x:f>C86*D$83</x:f>
        <x:v>0.0023076923076923083</x:v>
      </x:c>
      <x:c r="H86" s="238"/>
      <x:c r="I86" s="233" t="s">
        <x:v>4</x:v>
      </x:c>
      <x:c r="J86" s="245" t="s">
        <x:v>5</x:v>
      </x:c>
      <x:c r="K86" s="233" t="s">
        <x:v>4</x:v>
      </x:c>
      <x:c r="L86" s="243" t="s">
        <x:v>5</x:v>
      </x:c>
    </x:row>
    <x:row r="87" ht="20" customHeight="1">
      <x:c r="A87" s="174" t="s">
        <x:v>128</x:v>
      </x:c>
      <x:c r="B87" s="183" t="n">
        <x:f>'항목별 평가'!B92</x:f>
        <x:v>3</x:v>
      </x:c>
      <x:c r="C87" s="176" t="n">
        <x:f>IFERROR(B87/B$83,0)</x:f>
        <x:v>0.23076923076923078</x:v>
      </x:c>
      <x:c r="D87" s="176" t="n">
        <x:f>C87*D$83</x:f>
        <x:v>0.0023076923076923083</x:v>
      </x:c>
      <x:c r="H87" s="238" t="s">
        <x:v>129</x:v>
      </x:c>
      <x:c r="I87" s="239">
        <x:v>1</x:v>
      </x:c>
      <x:c r="J87" s="247" t="n">
        <x:f>IFERROR(I87/I$92,0)</x:f>
        <x:v>0.25</x:v>
      </x:c>
      <x:c r="K87" s="239">
        <x:v>1</x:v>
      </x:c>
      <x:c r="L87" s="247" t="n">
        <x:f>IFERROR(K87/K$92,0)</x:f>
        <x:v>0.14285714285714285</x:v>
      </x:c>
    </x:row>
    <x:row r="88" ht="20" customHeight="1">
      <x:c r="A88" s="180" t="s">
        <x:v>130</x:v>
      </x:c>
      <x:c r="B88" s="185" t="n">
        <x:f>'항목별 평가'!B93</x:f>
        <x:v>3</x:v>
      </x:c>
      <x:c r="C88" s="182" t="n">
        <x:f>IFERROR(B88/B$83,0)</x:f>
        <x:v>0.23076923076923078</x:v>
      </x:c>
      <x:c r="D88" s="182" t="n">
        <x:f>C88*D$83</x:f>
        <x:v>0.0023076923076923083</x:v>
      </x:c>
      <x:c r="H88" s="238" t="s">
        <x:v>131</x:v>
      </x:c>
      <x:c r="I88" s="239">
        <x:v>1</x:v>
      </x:c>
      <x:c r="J88" s="247" t="n">
        <x:f>IFERROR(I88/I$92,0)</x:f>
        <x:v>0.25</x:v>
      </x:c>
      <x:c r="K88" s="239">
        <x:v>1</x:v>
      </x:c>
      <x:c r="L88" s="247" t="n">
        <x:f>IFERROR(K88/K$92,0)</x:f>
        <x:v>0.14285714285714285</x:v>
      </x:c>
    </x:row>
    <x:row r="89" ht="22" customHeight="1">
      <x:c r="A89" s="170" t="s">
        <x:v>132</x:v>
      </x:c>
      <x:c r="B89" s="171" t="n">
        <x:f>SUM(B90:B97)</x:f>
        <x:v>16</x:v>
      </x:c>
      <x:c r="C89" s="172" t="n">
        <x:f>SUM(C90:C97)</x:f>
        <x:v>1</x:v>
      </x:c>
      <x:c r="D89" s="173" t="n">
        <x:f>D82*J61</x:f>
        <x:v>0.006666666666666667</x:v>
      </x:c>
      <x:c r="H89" s="238" t="s">
        <x:v>133</x:v>
      </x:c>
      <x:c r="I89" s="239">
        <x:v>1</x:v>
      </x:c>
      <x:c r="J89" s="247" t="n">
        <x:f>IFERROR(I89/I$92,0)</x:f>
        <x:v>0.25</x:v>
      </x:c>
      <x:c r="K89" s="239">
        <x:v>1</x:v>
      </x:c>
      <x:c r="L89" s="247" t="n">
        <x:f>IFERROR(K89/K$92,0)</x:f>
        <x:v>0.14285714285714285</x:v>
      </x:c>
    </x:row>
    <x:row r="90" ht="20" customHeight="1">
      <x:c r="A90" s="174" t="s">
        <x:v>134</x:v>
      </x:c>
      <x:c r="B90" s="183" t="n">
        <x:f>'항목별 평가'!B95</x:f>
        <x:v>2</x:v>
      </x:c>
      <x:c r="C90" s="176" t="n">
        <x:f>IFERROR(B90/B$89,0)</x:f>
        <x:v>0.125</x:v>
      </x:c>
      <x:c r="D90" s="176" t="n">
        <x:f>C90*D$89</x:f>
        <x:v>0.0008333333333333334</x:v>
      </x:c>
      <x:c r="H90" s="238" t="s">
        <x:v>135</x:v>
      </x:c>
      <x:c r="I90" s="239">
        <x:v>1</x:v>
      </x:c>
      <x:c r="J90" s="247" t="n">
        <x:f>IFERROR(I90/I$92,0)</x:f>
        <x:v>0.25</x:v>
      </x:c>
      <x:c r="K90" s="239">
        <x:v>1</x:v>
      </x:c>
      <x:c r="L90" s="247" t="n">
        <x:f>IFERROR(K90/K$92,0)</x:f>
        <x:v>0.14285714285714285</x:v>
      </x:c>
    </x:row>
    <x:row r="91" ht="20" customHeight="1">
      <x:c r="A91" s="180" t="s">
        <x:v>136</x:v>
      </x:c>
      <x:c r="B91" s="185" t="n">
        <x:f>'항목별 평가'!B96</x:f>
        <x:v>2</x:v>
      </x:c>
      <x:c r="C91" s="182" t="n">
        <x:f>IFERROR(B91/B$89,0)</x:f>
        <x:v>0.125</x:v>
      </x:c>
      <x:c r="D91" s="182" t="n">
        <x:f>C91*D$89</x:f>
        <x:v>0.0008333333333333334</x:v>
      </x:c>
      <x:c r="H91" s="238" t="s">
        <x:v>137</x:v>
      </x:c>
      <x:c r="I91" s="239">
        <x:v>0</x:v>
      </x:c>
      <x:c r="J91" s="247" t="n">
        <x:f>IFERROR(I91/I$92,0)</x:f>
        <x:v>0</x:v>
      </x:c>
      <x:c r="K91" s="239">
        <x:v>3</x:v>
      </x:c>
      <x:c r="L91" s="247" t="n">
        <x:f>IFERROR(K91/K$92,0)</x:f>
        <x:v>0.42857142857142855</x:v>
      </x:c>
    </x:row>
    <x:row r="92" ht="20" customHeight="1">
      <x:c r="A92" s="174" t="s">
        <x:v>138</x:v>
      </x:c>
      <x:c r="B92" s="183" t="n">
        <x:f>'항목별 평가'!B97</x:f>
        <x:v>2</x:v>
      </x:c>
      <x:c r="C92" s="176" t="n">
        <x:f>IFERROR(B92/B$89,0)</x:f>
        <x:v>0.125</x:v>
      </x:c>
      <x:c r="D92" s="176" t="n">
        <x:f>C92*D$89</x:f>
        <x:v>0.0008333333333333334</x:v>
      </x:c>
      <x:c r="H92" s="241" t="s">
        <x:v>2</x:v>
      </x:c>
      <x:c r="I92" s="121" t="n">
        <x:f>SUM(I87:I91)</x:f>
        <x:v>4</x:v>
      </x:c>
      <x:c r="J92" s="244" t="n">
        <x:f>IFERROR(SUM(J87:J91),0)</x:f>
        <x:v>1</x:v>
      </x:c>
      <x:c r="K92" s="121" t="n">
        <x:f>SUM(K87:K91)</x:f>
        <x:v>7</x:v>
      </x:c>
      <x:c r="L92" s="244" t="n">
        <x:f>IFERROR(SUM(L87:L91),0)</x:f>
        <x:v>1</x:v>
      </x:c>
    </x:row>
    <x:row r="93" ht="20" customHeight="1">
      <x:c r="A93" s="180" t="s">
        <x:v>139</x:v>
      </x:c>
      <x:c r="B93" s="185" t="n">
        <x:f>'항목별 평가'!B98</x:f>
        <x:v>1</x:v>
      </x:c>
      <x:c r="C93" s="182" t="n">
        <x:f>IFERROR(B93/B$89,0)</x:f>
        <x:v>0.0625</x:v>
      </x:c>
      <x:c r="D93" s="182" t="n">
        <x:f>C93*D$89</x:f>
        <x:v>0.0004166666666666667</x:v>
      </x:c>
    </x:row>
    <x:row r="94" ht="20" customHeight="1">
      <x:c r="A94" s="174" t="s">
        <x:v>140</x:v>
      </x:c>
      <x:c r="B94" s="183" t="n">
        <x:f>'항목별 평가'!B99</x:f>
        <x:v>3</x:v>
      </x:c>
      <x:c r="C94" s="176" t="n">
        <x:f>IFERROR(B94/B$89,0)</x:f>
        <x:v>0.1875</x:v>
      </x:c>
      <x:c r="D94" s="176" t="n">
        <x:f>C94*D$89</x:f>
        <x:v>0.00125</x:v>
      </x:c>
    </x:row>
    <x:row r="95" ht="20" customHeight="1">
      <x:c r="A95" s="180" t="s">
        <x:v>141</x:v>
      </x:c>
      <x:c r="B95" s="185" t="n">
        <x:f>'항목별 평가'!B100</x:f>
        <x:v>2</x:v>
      </x:c>
      <x:c r="C95" s="182" t="n">
        <x:f>IFERROR(B95/B$89,0)</x:f>
        <x:v>0.125</x:v>
      </x:c>
      <x:c r="D95" s="182" t="n">
        <x:f>C95*D$89</x:f>
        <x:v>0.0008333333333333334</x:v>
      </x:c>
    </x:row>
    <x:row r="96" ht="20" customHeight="1">
      <x:c r="A96" s="174" t="s">
        <x:v>142</x:v>
      </x:c>
      <x:c r="B96" s="183" t="n">
        <x:f>'항목별 평가'!B101</x:f>
        <x:v>2</x:v>
      </x:c>
      <x:c r="C96" s="176" t="n">
        <x:f>IFERROR(B96/B$89,0)</x:f>
        <x:v>0.125</x:v>
      </x:c>
      <x:c r="D96" s="176" t="n">
        <x:f>C96*D$89</x:f>
        <x:v>0.0008333333333333334</x:v>
      </x:c>
    </x:row>
    <x:row r="97" ht="20" customHeight="1">
      <x:c r="A97" s="180" t="s">
        <x:v>143</x:v>
      </x:c>
      <x:c r="B97" s="185" t="n">
        <x:f>'항목별 평가'!B102</x:f>
        <x:v>2</x:v>
      </x:c>
      <x:c r="C97" s="182" t="n">
        <x:f>IFERROR(B97/B$89,0)</x:f>
        <x:v>0.125</x:v>
      </x:c>
      <x:c r="D97" s="182" t="n">
        <x:f>C97*D$89</x:f>
        <x:v>0.0008333333333333334</x:v>
      </x:c>
    </x:row>
    <x:row r="98" ht="22" customHeight="1">
      <x:c r="A98" s="170" t="s">
        <x:v>144</x:v>
      </x:c>
      <x:c r="B98" s="171" t="n">
        <x:f>SUM(B99:B102)</x:f>
        <x:v>7</x:v>
      </x:c>
      <x:c r="C98" s="172" t="n">
        <x:f>SUM(C99:C102)</x:f>
        <x:v>0.9999999999999999</x:v>
      </x:c>
      <x:c r="D98" s="173" t="n">
        <x:f>D82*J62</x:f>
        <x:v>0.010000000000000002</x:v>
      </x:c>
    </x:row>
    <x:row r="99" ht="20" customHeight="1">
      <x:c r="A99" s="174" t="s">
        <x:v>145</x:v>
      </x:c>
      <x:c r="B99" s="183" t="n">
        <x:f>'항목별 평가'!B104</x:f>
        <x:v>2</x:v>
      </x:c>
      <x:c r="C99" s="176" t="n">
        <x:f>IFERROR(B99/B$98,0)</x:f>
        <x:v>0.2857142857142857</x:v>
      </x:c>
      <x:c r="D99" s="176" t="n">
        <x:f>C99*D$98</x:f>
        <x:v>0.0028571428571428576</x:v>
      </x:c>
    </x:row>
    <x:row r="100" ht="20" customHeight="1">
      <x:c r="A100" s="180" t="s">
        <x:v>146</x:v>
      </x:c>
      <x:c r="B100" s="185" t="n">
        <x:f>'항목별 평가'!B105</x:f>
        <x:v>2</x:v>
      </x:c>
      <x:c r="C100" s="182" t="n">
        <x:f>IFERROR(B100/B$98,0)</x:f>
        <x:v>0.2857142857142857</x:v>
      </x:c>
      <x:c r="D100" s="182" t="n">
        <x:f>C100*D$98</x:f>
        <x:v>0.0028571428571428576</x:v>
      </x:c>
    </x:row>
    <x:row r="101" ht="20" customHeight="1">
      <x:c r="A101" s="174" t="s">
        <x:v>147</x:v>
      </x:c>
      <x:c r="B101" s="183" t="n">
        <x:f>'항목별 평가'!B106</x:f>
        <x:v>1</x:v>
      </x:c>
      <x:c r="C101" s="176" t="n">
        <x:f>IFERROR(B101/B$98,0)</x:f>
        <x:v>0.14285714285714285</x:v>
      </x:c>
      <x:c r="D101" s="176" t="n">
        <x:f>C101*D$98</x:f>
        <x:v>0.0014285714285714288</x:v>
      </x:c>
    </x:row>
    <x:row r="102" ht="20" customHeight="1">
      <x:c r="A102" s="180" t="s">
        <x:v>148</x:v>
      </x:c>
      <x:c r="B102" s="185" t="n">
        <x:f>'항목별 평가'!B107</x:f>
        <x:v>2</x:v>
      </x:c>
      <x:c r="C102" s="182" t="n">
        <x:f>IFERROR(B102/B$98,0)</x:f>
        <x:v>0.2857142857142857</x:v>
      </x:c>
      <x:c r="D102" s="182" t="n">
        <x:f>C102*D$98</x:f>
        <x:v>0.0028571428571428576</x:v>
      </x:c>
    </x:row>
    <x:row r="103" ht="22" customHeight="1">
      <x:c r="A103" s="170" t="s">
        <x:v>149</x:v>
      </x:c>
      <x:c r="B103" s="171" t="n">
        <x:f>SUM(B104:B107)</x:f>
        <x:v>9</x:v>
      </x:c>
      <x:c r="C103" s="172" t="n">
        <x:f>SUM(C104:C107)</x:f>
        <x:v>1</x:v>
      </x:c>
      <x:c r="D103" s="173" t="n">
        <x:f>D82*J63</x:f>
        <x:v>0.010000000000000002</x:v>
      </x:c>
    </x:row>
    <x:row r="104" ht="20" customHeight="1">
      <x:c r="A104" s="174" t="s">
        <x:v>150</x:v>
      </x:c>
      <x:c r="B104" s="183" t="n">
        <x:f>'항목별 평가'!B109</x:f>
        <x:v>2</x:v>
      </x:c>
      <x:c r="C104" s="176" t="n">
        <x:f>IFERROR(B104/B$103,0)</x:f>
        <x:v>0.2222222222222222</x:v>
      </x:c>
      <x:c r="D104" s="176" t="n">
        <x:f>C104*D$103</x:f>
        <x:v>0.0022222222222222227</x:v>
      </x:c>
    </x:row>
    <x:row r="105" ht="20" customHeight="1">
      <x:c r="A105" s="180" t="s">
        <x:v>151</x:v>
      </x:c>
      <x:c r="B105" s="185" t="n">
        <x:f>'항목별 평가'!B110</x:f>
        <x:v>2</x:v>
      </x:c>
      <x:c r="C105" s="182" t="n">
        <x:f>IFERROR(B105/B$103,0)</x:f>
        <x:v>0.2222222222222222</x:v>
      </x:c>
      <x:c r="D105" s="182" t="n">
        <x:f>C105*D$103</x:f>
        <x:v>0.0022222222222222227</x:v>
      </x:c>
    </x:row>
    <x:row r="106" ht="20" customHeight="1">
      <x:c r="A106" s="174" t="s">
        <x:v>152</x:v>
      </x:c>
      <x:c r="B106" s="183" t="n">
        <x:f>'항목별 평가'!B111</x:f>
        <x:v>2</x:v>
      </x:c>
      <x:c r="C106" s="176" t="n">
        <x:f>IFERROR(B106/B$103,0)</x:f>
        <x:v>0.2222222222222222</x:v>
      </x:c>
      <x:c r="D106" s="176" t="n">
        <x:f>C106*D$103</x:f>
        <x:v>0.0022222222222222227</x:v>
      </x:c>
    </x:row>
    <x:row r="107" ht="20" customHeight="1">
      <x:c r="A107" s="180" t="s">
        <x:v>153</x:v>
      </x:c>
      <x:c r="B107" s="185" t="n">
        <x:f>'항목별 평가'!B112</x:f>
        <x:v>3</x:v>
      </x:c>
      <x:c r="C107" s="182" t="n">
        <x:f>IFERROR(B107/B$103,0)</x:f>
        <x:v>0.3333333333333333</x:v>
      </x:c>
      <x:c r="D107" s="182" t="n">
        <x:f>C107*D$103</x:f>
        <x:v>0.003333333333333334</x:v>
      </x:c>
    </x:row>
    <x:row r="108" ht="22" customHeight="1">
      <x:c r="A108" s="170" t="s">
        <x:v>154</x:v>
      </x:c>
      <x:c r="B108" s="171" t="n">
        <x:f>SUM(B109:B116)</x:f>
        <x:v>13</x:v>
      </x:c>
      <x:c r="C108" s="172" t="n">
        <x:f>SUM(C109:C116)</x:f>
        <x:v>1</x:v>
      </x:c>
      <x:c r="D108" s="173" t="n">
        <x:f>D82*J64</x:f>
        <x:v>0.006666666666666667</x:v>
      </x:c>
    </x:row>
    <x:row r="109" ht="20" customHeight="1">
      <x:c r="A109" s="174" t="s">
        <x:v>155</x:v>
      </x:c>
      <x:c r="B109" s="183" t="n">
        <x:f>'항목별 평가'!B114</x:f>
        <x:v>2</x:v>
      </x:c>
      <x:c r="C109" s="176" t="n">
        <x:f>IFERROR(B109/B$108,0)</x:f>
        <x:v>0.15384615384615385</x:v>
      </x:c>
      <x:c r="D109" s="176" t="n">
        <x:f>C109*D$108</x:f>
        <x:v>0.0010256410256410259</x:v>
      </x:c>
    </x:row>
    <x:row r="110" ht="20" customHeight="1">
      <x:c r="A110" s="180" t="s">
        <x:v>156</x:v>
      </x:c>
      <x:c r="B110" s="185" t="n">
        <x:f>'항목별 평가'!B115</x:f>
        <x:v>2</x:v>
      </x:c>
      <x:c r="C110" s="182" t="n">
        <x:f>IFERROR(B110/B$108,0)</x:f>
        <x:v>0.15384615384615385</x:v>
      </x:c>
      <x:c r="D110" s="182" t="n">
        <x:f>C110*D$108</x:f>
        <x:v>0.0010256410256410259</x:v>
      </x:c>
    </x:row>
    <x:row r="111" ht="20" customHeight="1">
      <x:c r="A111" s="174" t="s">
        <x:v>157</x:v>
      </x:c>
      <x:c r="B111" s="183" t="n">
        <x:f>'항목별 평가'!B116</x:f>
        <x:v>1</x:v>
      </x:c>
      <x:c r="C111" s="176" t="n">
        <x:f>IFERROR(B111/B$108,0)</x:f>
        <x:v>0.07692307692307693</x:v>
      </x:c>
      <x:c r="D111" s="176" t="n">
        <x:f>C111*D$108</x:f>
        <x:v>0.0005128205128205129</x:v>
      </x:c>
    </x:row>
    <x:row r="112" ht="20" customHeight="1">
      <x:c r="A112" s="180" t="s">
        <x:v>158</x:v>
      </x:c>
      <x:c r="B112" s="185" t="n">
        <x:f>'항목별 평가'!B117</x:f>
        <x:v>1</x:v>
      </x:c>
      <x:c r="C112" s="182" t="n">
        <x:f>IFERROR(B112/B$108,0)</x:f>
        <x:v>0.07692307692307693</x:v>
      </x:c>
      <x:c r="D112" s="182" t="n">
        <x:f>C112*D$108</x:f>
        <x:v>0.0005128205128205129</x:v>
      </x:c>
    </x:row>
    <x:row r="113" ht="20" customHeight="1">
      <x:c r="A113" s="174" t="s">
        <x:v>159</x:v>
      </x:c>
      <x:c r="B113" s="183" t="n">
        <x:f>'항목별 평가'!B118</x:f>
        <x:v>1</x:v>
      </x:c>
      <x:c r="C113" s="176" t="n">
        <x:f>IFERROR(B113/B$108,0)</x:f>
        <x:v>0.07692307692307693</x:v>
      </x:c>
      <x:c r="D113" s="176" t="n">
        <x:f>C113*D$108</x:f>
        <x:v>0.0005128205128205129</x:v>
      </x:c>
    </x:row>
    <x:row r="114" ht="20" customHeight="1">
      <x:c r="A114" s="180" t="s">
        <x:v>160</x:v>
      </x:c>
      <x:c r="B114" s="185" t="n">
        <x:f>'항목별 평가'!B119</x:f>
        <x:v>1</x:v>
      </x:c>
      <x:c r="C114" s="182" t="n">
        <x:f>IFERROR(B114/B$108,0)</x:f>
        <x:v>0.07692307692307693</x:v>
      </x:c>
      <x:c r="D114" s="182" t="n">
        <x:f>C114*D$108</x:f>
        <x:v>0.0005128205128205129</x:v>
      </x:c>
    </x:row>
    <x:row r="115" ht="20" customHeight="1">
      <x:c r="A115" s="174" t="s">
        <x:v>161</x:v>
      </x:c>
      <x:c r="B115" s="183" t="n">
        <x:f>'항목별 평가'!B120</x:f>
        <x:v>2</x:v>
      </x:c>
      <x:c r="C115" s="176" t="n">
        <x:f>IFERROR(B115/B$108,0)</x:f>
        <x:v>0.15384615384615385</x:v>
      </x:c>
      <x:c r="D115" s="176" t="n">
        <x:f>C115*D$108</x:f>
        <x:v>0.0010256410256410259</x:v>
      </x:c>
    </x:row>
    <x:row r="116" ht="20" customHeight="1">
      <x:c r="A116" s="180" t="s">
        <x:v>162</x:v>
      </x:c>
      <x:c r="B116" s="185" t="n">
        <x:f>'항목별 평가'!B121</x:f>
        <x:v>3</x:v>
      </x:c>
      <x:c r="C116" s="182" t="n">
        <x:f>IFERROR(B116/B$108,0)</x:f>
        <x:v>0.23076923076923078</x:v>
      </x:c>
      <x:c r="D116" s="182" t="n">
        <x:f>C116*D$108</x:f>
        <x:v>0.0015384615384615387</x:v>
      </x:c>
    </x:row>
    <x:row r="117" ht="22" customHeight="1">
      <x:c r="A117" s="170" t="s">
        <x:v>163</x:v>
      </x:c>
      <x:c r="B117" s="171" t="n">
        <x:f>SUM(B118:B131)</x:f>
        <x:v>34</x:v>
      </x:c>
      <x:c r="C117" s="172" t="n">
        <x:f>SUM(C118:C131)</x:f>
        <x:v>1</x:v>
      </x:c>
      <x:c r="D117" s="173" t="n">
        <x:f>D82*J65</x:f>
        <x:v>0.006666666666666667</x:v>
      </x:c>
    </x:row>
    <x:row r="118" ht="20" customHeight="1">
      <x:c r="A118" s="174" t="s">
        <x:v>164</x:v>
      </x:c>
      <x:c r="B118" s="183" t="n">
        <x:f>'항목별 평가'!B123</x:f>
        <x:v>3</x:v>
      </x:c>
      <x:c r="C118" s="176" t="n">
        <x:f>IFERROR(B118/B$117,0)</x:f>
        <x:v>0.08823529411764706</x:v>
      </x:c>
      <x:c r="D118" s="176" t="n">
        <x:f>C118*D$117</x:f>
        <x:v>0.0005882352941176471</x:v>
      </x:c>
    </x:row>
    <x:row r="119" ht="20" customHeight="1">
      <x:c r="A119" s="180" t="s">
        <x:v>165</x:v>
      </x:c>
      <x:c r="B119" s="185" t="n">
        <x:f>'항목별 평가'!B124</x:f>
        <x:v>2</x:v>
      </x:c>
      <x:c r="C119" s="182" t="n">
        <x:f>IFERROR(B119/B$117,0)</x:f>
        <x:v>0.058823529411764705</x:v>
      </x:c>
      <x:c r="D119" s="182" t="n">
        <x:f>C119*D$117</x:f>
        <x:v>0.0003921568627450981</x:v>
      </x:c>
    </x:row>
    <x:row r="120" ht="20" customHeight="1">
      <x:c r="A120" s="174" t="s">
        <x:v>166</x:v>
      </x:c>
      <x:c r="B120" s="183" t="n">
        <x:f>'항목별 평가'!B125</x:f>
        <x:v>2</x:v>
      </x:c>
      <x:c r="C120" s="176" t="n">
        <x:f>IFERROR(B120/B$117,0)</x:f>
        <x:v>0.058823529411764705</x:v>
      </x:c>
      <x:c r="D120" s="176" t="n">
        <x:f>C120*D$117</x:f>
        <x:v>0.0003921568627450981</x:v>
      </x:c>
    </x:row>
    <x:row r="121" ht="20" customHeight="1">
      <x:c r="A121" s="180" t="s">
        <x:v>167</x:v>
      </x:c>
      <x:c r="B121" s="185" t="n">
        <x:f>'항목별 평가'!B126</x:f>
        <x:v>2</x:v>
      </x:c>
      <x:c r="C121" s="182" t="n">
        <x:f>IFERROR(B121/B$117,0)</x:f>
        <x:v>0.058823529411764705</x:v>
      </x:c>
      <x:c r="D121" s="182" t="n">
        <x:f>C121*D$117</x:f>
        <x:v>0.0003921568627450981</x:v>
      </x:c>
    </x:row>
    <x:row r="122" ht="20" customHeight="1">
      <x:c r="A122" s="174" t="s">
        <x:v>168</x:v>
      </x:c>
      <x:c r="B122" s="183" t="n">
        <x:f>'항목별 평가'!B127</x:f>
        <x:v>3</x:v>
      </x:c>
      <x:c r="C122" s="176" t="n">
        <x:f>IFERROR(B122/B$117,0)</x:f>
        <x:v>0.08823529411764706</x:v>
      </x:c>
      <x:c r="D122" s="176" t="n">
        <x:f>C122*D$117</x:f>
        <x:v>0.0005882352941176471</x:v>
      </x:c>
    </x:row>
    <x:row r="123" ht="20" customHeight="1">
      <x:c r="A123" s="180" t="s">
        <x:v>169</x:v>
      </x:c>
      <x:c r="B123" s="185" t="n">
        <x:f>'항목별 평가'!B128</x:f>
        <x:v>3</x:v>
      </x:c>
      <x:c r="C123" s="182" t="n">
        <x:f>IFERROR(B123/B$117,0)</x:f>
        <x:v>0.08823529411764706</x:v>
      </x:c>
      <x:c r="D123" s="182" t="n">
        <x:f>C123*D$117</x:f>
        <x:v>0.0005882352941176471</x:v>
      </x:c>
    </x:row>
    <x:row r="124" ht="20" customHeight="1">
      <x:c r="A124" s="174" t="s">
        <x:v>170</x:v>
      </x:c>
      <x:c r="B124" s="183" t="n">
        <x:f>'항목별 평가'!B129</x:f>
        <x:v>2</x:v>
      </x:c>
      <x:c r="C124" s="176" t="n">
        <x:f>IFERROR(B124/B$117,0)</x:f>
        <x:v>0.058823529411764705</x:v>
      </x:c>
      <x:c r="D124" s="176" t="n">
        <x:f>C124*D$117</x:f>
        <x:v>0.0003921568627450981</x:v>
      </x:c>
    </x:row>
    <x:row r="125" ht="20" customHeight="1">
      <x:c r="A125" s="180" t="s">
        <x:v>171</x:v>
      </x:c>
      <x:c r="B125" s="185" t="n">
        <x:f>'항목별 평가'!B130</x:f>
        <x:v>3</x:v>
      </x:c>
      <x:c r="C125" s="182" t="n">
        <x:f>IFERROR(B125/B$117,0)</x:f>
        <x:v>0.08823529411764706</x:v>
      </x:c>
      <x:c r="D125" s="182" t="n">
        <x:f>C125*D$117</x:f>
        <x:v>0.0005882352941176471</x:v>
      </x:c>
    </x:row>
    <x:row r="126" ht="20" customHeight="1">
      <x:c r="A126" s="174" t="s">
        <x:v>172</x:v>
      </x:c>
      <x:c r="B126" s="183" t="n">
        <x:f>'항목별 평가'!B131</x:f>
        <x:v>2</x:v>
      </x:c>
      <x:c r="C126" s="176" t="n">
        <x:f>IFERROR(B126/B$117,0)</x:f>
        <x:v>0.058823529411764705</x:v>
      </x:c>
      <x:c r="D126" s="176" t="n">
        <x:f>C126*D$117</x:f>
        <x:v>0.0003921568627450981</x:v>
      </x:c>
    </x:row>
    <x:row r="127" ht="20" customHeight="1">
      <x:c r="A127" s="180" t="s">
        <x:v>173</x:v>
      </x:c>
      <x:c r="B127" s="185" t="n">
        <x:f>'항목별 평가'!B132</x:f>
        <x:v>3</x:v>
      </x:c>
      <x:c r="C127" s="182" t="n">
        <x:f>IFERROR(B127/B$117,0)</x:f>
        <x:v>0.08823529411764706</x:v>
      </x:c>
      <x:c r="D127" s="182" t="n">
        <x:f>C127*D$117</x:f>
        <x:v>0.0005882352941176471</x:v>
      </x:c>
    </x:row>
    <x:row r="128" ht="20" customHeight="1">
      <x:c r="A128" s="174" t="s">
        <x:v>174</x:v>
      </x:c>
      <x:c r="B128" s="183" t="n">
        <x:f>'항목별 평가'!B133</x:f>
        <x:v>3</x:v>
      </x:c>
      <x:c r="C128" s="176" t="n">
        <x:f>IFERROR(B128/B$117,0)</x:f>
        <x:v>0.08823529411764706</x:v>
      </x:c>
      <x:c r="D128" s="176" t="n">
        <x:f>C128*D$117</x:f>
        <x:v>0.0005882352941176471</x:v>
      </x:c>
    </x:row>
    <x:row r="129" ht="20" customHeight="1">
      <x:c r="A129" s="180" t="s">
        <x:v>175</x:v>
      </x:c>
      <x:c r="B129" s="185" t="n">
        <x:f>'항목별 평가'!B134</x:f>
        <x:v>2</x:v>
      </x:c>
      <x:c r="C129" s="182" t="n">
        <x:f>IFERROR(B129/B$117,0)</x:f>
        <x:v>0.058823529411764705</x:v>
      </x:c>
      <x:c r="D129" s="182" t="n">
        <x:f>C129*D$117</x:f>
        <x:v>0.0003921568627450981</x:v>
      </x:c>
    </x:row>
    <x:row r="130" ht="20" customHeight="1">
      <x:c r="A130" s="174" t="s">
        <x:v>176</x:v>
      </x:c>
      <x:c r="B130" s="183" t="n">
        <x:f>'항목별 평가'!B135</x:f>
        <x:v>2</x:v>
      </x:c>
      <x:c r="C130" s="176" t="n">
        <x:f>IFERROR(B130/B$117,0)</x:f>
        <x:v>0.058823529411764705</x:v>
      </x:c>
      <x:c r="D130" s="176" t="n">
        <x:f>C130*D$117</x:f>
        <x:v>0.0003921568627450981</x:v>
      </x:c>
    </x:row>
    <x:row r="131" ht="20" customHeight="1">
      <x:c r="A131" s="180" t="s">
        <x:v>177</x:v>
      </x:c>
      <x:c r="B131" s="185" t="n">
        <x:f>'항목별 평가'!B136</x:f>
        <x:v>2</x:v>
      </x:c>
      <x:c r="C131" s="182" t="n">
        <x:f>IFERROR(B131/B$117,0)</x:f>
        <x:v>0.058823529411764705</x:v>
      </x:c>
      <x:c r="D131" s="182" t="n">
        <x:f>C131*D$117</x:f>
        <x:v>0.0003921568627450981</x:v>
      </x:c>
    </x:row>
    <x:row r="132" ht="24" customHeight="1">
      <x:c r="A132" s="162" t="s">
        <x:v>178</x:v>
      </x:c>
      <x:c r="B132" s="188" t="s">
        <x:v>4</x:v>
      </x:c>
      <x:c r="C132" s="189" t="s">
        <x:v>5</x:v>
      </x:c>
      <x:c r="D132" s="165" t="n">
        <x:f>P4*J12</x:f>
        <x:v>0.025</x:v>
      </x:c>
    </x:row>
    <x:row r="133" ht="22" customHeight="1">
      <x:c r="A133" s="170" t="s">
        <x:v>179</x:v>
      </x:c>
      <x:c r="B133" s="171" t="n">
        <x:f>SUM(B134:B141)</x:f>
        <x:v>19</x:v>
      </x:c>
      <x:c r="C133" s="172" t="n">
        <x:f>SUM(C134:C141)</x:f>
        <x:v>1</x:v>
      </x:c>
      <x:c r="D133" s="173" t="n">
        <x:f>D132*J71</x:f>
        <x:v>0.0125</x:v>
      </x:c>
    </x:row>
    <x:row r="134" ht="20" customHeight="1">
      <x:c r="A134" s="174" t="s">
        <x:v>180</x:v>
      </x:c>
      <x:c r="B134" s="183" t="n">
        <x:f>'항목별 평가'!B139</x:f>
        <x:v>2</x:v>
      </x:c>
      <x:c r="C134" s="176" t="n">
        <x:f>IFERROR(B134/B$133,0)</x:f>
        <x:v>0.10526315789473684</x:v>
      </x:c>
      <x:c r="D134" s="176" t="n">
        <x:f>C134*D$133</x:f>
        <x:v>0.0013157894736842105</x:v>
      </x:c>
    </x:row>
    <x:row r="135" ht="20" customHeight="1">
      <x:c r="A135" s="180" t="s">
        <x:v>181</x:v>
      </x:c>
      <x:c r="B135" s="185" t="n">
        <x:f>'항목별 평가'!B140</x:f>
        <x:v>3</x:v>
      </x:c>
      <x:c r="C135" s="182" t="n">
        <x:f>IFERROR(B135/B$133,0)</x:f>
        <x:v>0.15789473684210525</x:v>
      </x:c>
      <x:c r="D135" s="182" t="n">
        <x:f>C135*D$133</x:f>
        <x:v>0.001973684210526316</x:v>
      </x:c>
    </x:row>
    <x:row r="136" ht="20" customHeight="1">
      <x:c r="A136" s="174" t="s">
        <x:v>182</x:v>
      </x:c>
      <x:c r="B136" s="183" t="n">
        <x:f>'항목별 평가'!B141</x:f>
        <x:v>2</x:v>
      </x:c>
      <x:c r="C136" s="176" t="n">
        <x:f>IFERROR(B136/B$133,0)</x:f>
        <x:v>0.10526315789473684</x:v>
      </x:c>
      <x:c r="D136" s="176" t="n">
        <x:f>C136*D$133</x:f>
        <x:v>0.0013157894736842105</x:v>
      </x:c>
    </x:row>
    <x:row r="137" ht="20" customHeight="1">
      <x:c r="A137" s="180" t="s">
        <x:v>183</x:v>
      </x:c>
      <x:c r="B137" s="185" t="n">
        <x:f>'항목별 평가'!B142</x:f>
        <x:v>3</x:v>
      </x:c>
      <x:c r="C137" s="182" t="n">
        <x:f>IFERROR(B137/B$133,0)</x:f>
        <x:v>0.15789473684210525</x:v>
      </x:c>
      <x:c r="D137" s="182" t="n">
        <x:f>C137*D$133</x:f>
        <x:v>0.001973684210526316</x:v>
      </x:c>
    </x:row>
    <x:row r="138" ht="20" customHeight="1">
      <x:c r="A138" s="174" t="s">
        <x:v>184</x:v>
      </x:c>
      <x:c r="B138" s="183" t="n">
        <x:f>'항목별 평가'!B143</x:f>
        <x:v>2</x:v>
      </x:c>
      <x:c r="C138" s="176" t="n">
        <x:f>IFERROR(B138/B$133,0)</x:f>
        <x:v>0.10526315789473684</x:v>
      </x:c>
      <x:c r="D138" s="176" t="n">
        <x:f>C138*D$133</x:f>
        <x:v>0.0013157894736842105</x:v>
      </x:c>
    </x:row>
    <x:row r="139" ht="20" customHeight="1">
      <x:c r="A139" s="180" t="s">
        <x:v>185</x:v>
      </x:c>
      <x:c r="B139" s="185" t="n">
        <x:f>'항목별 평가'!B144</x:f>
        <x:v>3</x:v>
      </x:c>
      <x:c r="C139" s="182" t="n">
        <x:f>IFERROR(B139/B$133,0)</x:f>
        <x:v>0.15789473684210525</x:v>
      </x:c>
      <x:c r="D139" s="182" t="n">
        <x:f>C139*D$133</x:f>
        <x:v>0.001973684210526316</x:v>
      </x:c>
    </x:row>
    <x:row r="140" ht="20" customHeight="1">
      <x:c r="A140" s="174" t="s">
        <x:v>186</x:v>
      </x:c>
      <x:c r="B140" s="183" t="n">
        <x:f>'항목별 평가'!B145</x:f>
        <x:v>2</x:v>
      </x:c>
      <x:c r="C140" s="176" t="n">
        <x:f>IFERROR(B140/B$133,0)</x:f>
        <x:v>0.10526315789473684</x:v>
      </x:c>
      <x:c r="D140" s="176" t="n">
        <x:f>C140*D$133</x:f>
        <x:v>0.0013157894736842105</x:v>
      </x:c>
    </x:row>
    <x:row r="141" ht="20" customHeight="1">
      <x:c r="A141" s="180" t="s">
        <x:v>187</x:v>
      </x:c>
      <x:c r="B141" s="185" t="n">
        <x:f>'항목별 평가'!B146</x:f>
        <x:v>2</x:v>
      </x:c>
      <x:c r="C141" s="182" t="n">
        <x:f>IFERROR(B141/B$133,0)</x:f>
        <x:v>0.10526315789473684</x:v>
      </x:c>
      <x:c r="D141" s="182" t="n">
        <x:f>C141*D$133</x:f>
        <x:v>0.0013157894736842105</x:v>
      </x:c>
    </x:row>
    <x:row r="142" ht="22" customHeight="1">
      <x:c r="A142" s="170" t="s">
        <x:v>188</x:v>
      </x:c>
      <x:c r="B142" s="171" t="n">
        <x:f>SUM(B143:B146)</x:f>
        <x:v>7</x:v>
      </x:c>
      <x:c r="C142" s="172" t="n">
        <x:f>SUM(C143:C146)</x:f>
        <x:v>0.9999999999999999</x:v>
      </x:c>
      <x:c r="D142" s="173" t="n">
        <x:f>D132*J72</x:f>
        <x:v>0.0125</x:v>
      </x:c>
    </x:row>
    <x:row r="143" ht="20" customHeight="1">
      <x:c r="A143" s="174" t="s">
        <x:v>189</x:v>
      </x:c>
      <x:c r="B143" s="183" t="n">
        <x:f>'항목별 평가'!B148</x:f>
        <x:v>2</x:v>
      </x:c>
      <x:c r="C143" s="176" t="n">
        <x:f>IFERROR(B143/B$142,0)</x:f>
        <x:v>0.2857142857142857</x:v>
      </x:c>
      <x:c r="D143" s="176" t="n">
        <x:f>C143*D$142</x:f>
        <x:v>0.0035714285714285713</x:v>
      </x:c>
    </x:row>
    <x:row r="144" ht="20" customHeight="1">
      <x:c r="A144" s="180" t="s">
        <x:v>190</x:v>
      </x:c>
      <x:c r="B144" s="185" t="n">
        <x:f>'항목별 평가'!B149</x:f>
        <x:v>2</x:v>
      </x:c>
      <x:c r="C144" s="182" t="n">
        <x:f>IFERROR(B144/B$142,0)</x:f>
        <x:v>0.2857142857142857</x:v>
      </x:c>
      <x:c r="D144" s="182" t="n">
        <x:f>C144*D$142</x:f>
        <x:v>0.0035714285714285713</x:v>
      </x:c>
    </x:row>
    <x:row r="145" ht="20" customHeight="1">
      <x:c r="A145" s="174" t="s">
        <x:v>191</x:v>
      </x:c>
      <x:c r="B145" s="183" t="n">
        <x:f>'항목별 평가'!B150</x:f>
        <x:v>1</x:v>
      </x:c>
      <x:c r="C145" s="176" t="n">
        <x:f>IFERROR(B145/B$142,0)</x:f>
        <x:v>0.14285714285714285</x:v>
      </x:c>
      <x:c r="D145" s="176" t="n">
        <x:f>C145*D$142</x:f>
        <x:v>0.0017857142857142857</x:v>
      </x:c>
    </x:row>
    <x:row r="146" ht="20" customHeight="1">
      <x:c r="A146" s="180" t="s">
        <x:v>192</x:v>
      </x:c>
      <x:c r="B146" s="185" t="n">
        <x:f>'항목별 평가'!B151</x:f>
        <x:v>2</x:v>
      </x:c>
      <x:c r="C146" s="182" t="n">
        <x:f>IFERROR(B146/B$142,0)</x:f>
        <x:v>0.2857142857142857</x:v>
      </x:c>
      <x:c r="D146" s="182" t="n">
        <x:f>C146*D$142</x:f>
        <x:v>0.0035714285714285713</x:v>
      </x:c>
    </x:row>
    <x:row r="147" ht="24" customHeight="1">
      <x:c r="A147" s="162" t="s">
        <x:v>193</x:v>
      </x:c>
      <x:c r="B147" s="188" t="s">
        <x:v>4</x:v>
      </x:c>
      <x:c r="C147" s="189" t="s">
        <x:v>5</x:v>
      </x:c>
      <x:c r="D147" s="165" t="n">
        <x:f>P4*J13</x:f>
        <x:v>0.025</x:v>
      </x:c>
    </x:row>
    <x:row r="148" ht="22" customHeight="1">
      <x:c r="A148" s="170" t="s">
        <x:v>194</x:v>
      </x:c>
      <x:c r="B148" s="171" t="n">
        <x:f>SUM(B149:B151)</x:f>
        <x:v>7</x:v>
      </x:c>
      <x:c r="C148" s="172" t="n">
        <x:f>SUM(C149:C151)</x:f>
        <x:v>0.9999999999999999</x:v>
      </x:c>
      <x:c r="D148" s="173" t="n">
        <x:f>D147*J78</x:f>
        <x:v>0.00625</x:v>
      </x:c>
    </x:row>
    <x:row r="149" ht="20" customHeight="1">
      <x:c r="A149" s="174" t="s">
        <x:v>195</x:v>
      </x:c>
      <x:c r="B149" s="183" t="n">
        <x:f>'항목별 평가'!B154</x:f>
        <x:v>2</x:v>
      </x:c>
      <x:c r="C149" s="176" t="n">
        <x:f>IFERROR(B149/B$148,0)</x:f>
        <x:v>0.2857142857142857</x:v>
      </x:c>
      <x:c r="D149" s="176" t="n">
        <x:f>C149*D$148</x:f>
        <x:v>0.0017857142857142857</x:v>
      </x:c>
    </x:row>
    <x:row r="150" ht="20" customHeight="1">
      <x:c r="A150" s="180" t="s">
        <x:v>196</x:v>
      </x:c>
      <x:c r="B150" s="185" t="n">
        <x:f>'항목별 평가'!B155</x:f>
        <x:v>3</x:v>
      </x:c>
      <x:c r="C150" s="182" t="n">
        <x:f>IFERROR(B150/B$148,0)</x:f>
        <x:v>0.42857142857142855</x:v>
      </x:c>
      <x:c r="D150" s="182" t="n">
        <x:f>C150*D$148</x:f>
        <x:v>0.0026785714285714286</x:v>
      </x:c>
    </x:row>
    <x:row r="151" ht="20" customHeight="1">
      <x:c r="A151" s="174" t="s">
        <x:v>197</x:v>
      </x:c>
      <x:c r="B151" s="183" t="n">
        <x:f>'항목별 평가'!B156</x:f>
        <x:v>2</x:v>
      </x:c>
      <x:c r="C151" s="176" t="n">
        <x:f>IFERROR(B151/B$148,0)</x:f>
        <x:v>0.2857142857142857</x:v>
      </x:c>
      <x:c r="D151" s="176" t="n">
        <x:f>C151*D$148</x:f>
        <x:v>0.0017857142857142857</x:v>
      </x:c>
    </x:row>
    <x:row r="152" ht="22" customHeight="1">
      <x:c r="A152" s="170" t="s">
        <x:v>198</x:v>
      </x:c>
      <x:c r="B152" s="171" t="n">
        <x:f>SUM(B153:B156)</x:f>
        <x:v>10</x:v>
      </x:c>
      <x:c r="C152" s="172" t="n">
        <x:f>SUM(C153:C156)</x:f>
        <x:v>1</x:v>
      </x:c>
      <x:c r="D152" s="173" t="n">
        <x:f>D147*J79</x:f>
        <x:v>0.00625</x:v>
      </x:c>
    </x:row>
    <x:row r="153" ht="20" customHeight="1">
      <x:c r="A153" s="180" t="s">
        <x:v>199</x:v>
      </x:c>
      <x:c r="B153" s="185" t="n">
        <x:f>'항목별 평가'!B158</x:f>
        <x:v>3</x:v>
      </x:c>
      <x:c r="C153" s="182" t="n">
        <x:f>IFERROR(B153/B$152,0)</x:f>
        <x:v>0.3</x:v>
      </x:c>
      <x:c r="D153" s="182" t="n">
        <x:f>C153*D$152</x:f>
        <x:v>0.001875</x:v>
      </x:c>
    </x:row>
    <x:row r="154" ht="20" customHeight="1">
      <x:c r="A154" s="174" t="s">
        <x:v>200</x:v>
      </x:c>
      <x:c r="B154" s="183" t="n">
        <x:f>'항목별 평가'!B159</x:f>
        <x:v>2</x:v>
      </x:c>
      <x:c r="C154" s="176" t="n">
        <x:f>IFERROR(B154/B$152,0)</x:f>
        <x:v>0.2</x:v>
      </x:c>
      <x:c r="D154" s="176" t="n">
        <x:f>C154*D$152</x:f>
        <x:v>0.0012500000000000002</x:v>
      </x:c>
    </x:row>
    <x:row r="155" ht="20" customHeight="1">
      <x:c r="A155" s="180" t="s">
        <x:v>201</x:v>
      </x:c>
      <x:c r="B155" s="185" t="n">
        <x:f>'항목별 평가'!B160</x:f>
        <x:v>2</x:v>
      </x:c>
      <x:c r="C155" s="182" t="n">
        <x:f>IFERROR(B155/B$152,0)</x:f>
        <x:v>0.2</x:v>
      </x:c>
      <x:c r="D155" s="182" t="n">
        <x:f>C155*D$152</x:f>
        <x:v>0.0012500000000000002</x:v>
      </x:c>
    </x:row>
    <x:row r="156" ht="20" customHeight="1">
      <x:c r="A156" s="174" t="s">
        <x:v>202</x:v>
      </x:c>
      <x:c r="B156" s="183" t="n">
        <x:f>'항목별 평가'!B161</x:f>
        <x:v>3</x:v>
      </x:c>
      <x:c r="C156" s="176" t="n">
        <x:f>IFERROR(B156/B$152,0)</x:f>
        <x:v>0.3</x:v>
      </x:c>
      <x:c r="D156" s="176" t="n">
        <x:f>C156*D$152</x:f>
        <x:v>0.001875</x:v>
      </x:c>
    </x:row>
    <x:row r="157" ht="22" customHeight="1">
      <x:c r="A157" s="170" t="s">
        <x:v>203</x:v>
      </x:c>
      <x:c r="B157" s="171" t="n">
        <x:f>SUM(B158:B161)</x:f>
        <x:v>9</x:v>
      </x:c>
      <x:c r="C157" s="172" t="n">
        <x:f>SUM(C158:C161)</x:f>
        <x:v>1</x:v>
      </x:c>
      <x:c r="D157" s="173" t="n">
        <x:f>D147*J80</x:f>
        <x:v>0.00625</x:v>
      </x:c>
    </x:row>
    <x:row r="158" ht="20" customHeight="1">
      <x:c r="A158" s="180" t="s">
        <x:v>204</x:v>
      </x:c>
      <x:c r="B158" s="185" t="n">
        <x:f>'항목별 평가'!B163</x:f>
        <x:v>3</x:v>
      </x:c>
      <x:c r="C158" s="182" t="n">
        <x:f>IFERROR(B158/B$157,0)</x:f>
        <x:v>0.3333333333333333</x:v>
      </x:c>
      <x:c r="D158" s="182" t="n">
        <x:f>C158*D$157</x:f>
        <x:v>0.0020833333333333333</x:v>
      </x:c>
    </x:row>
    <x:row r="159" ht="20" customHeight="1">
      <x:c r="A159" s="174" t="s">
        <x:v>205</x:v>
      </x:c>
      <x:c r="B159" s="183" t="n">
        <x:f>'항목별 평가'!B164</x:f>
        <x:v>2</x:v>
      </x:c>
      <x:c r="C159" s="176" t="n">
        <x:f>IFERROR(B159/B$157,0)</x:f>
        <x:v>0.2222222222222222</x:v>
      </x:c>
      <x:c r="D159" s="176" t="n">
        <x:f>C159*D$157</x:f>
        <x:v>0.001388888888888889</x:v>
      </x:c>
    </x:row>
    <x:row r="160" ht="20" customHeight="1">
      <x:c r="A160" s="180" t="s">
        <x:v>206</x:v>
      </x:c>
      <x:c r="B160" s="185" t="n">
        <x:f>'항목별 평가'!B165</x:f>
        <x:v>2</x:v>
      </x:c>
      <x:c r="C160" s="182" t="n">
        <x:f>IFERROR(B160/B$157,0)</x:f>
        <x:v>0.2222222222222222</x:v>
      </x:c>
      <x:c r="D160" s="182" t="n">
        <x:f>C160*D$157</x:f>
        <x:v>0.001388888888888889</x:v>
      </x:c>
    </x:row>
    <x:row r="161" ht="20" customHeight="1">
      <x:c r="A161" s="174" t="s">
        <x:v>207</x:v>
      </x:c>
      <x:c r="B161" s="183" t="n">
        <x:f>'항목별 평가'!B166</x:f>
        <x:v>2</x:v>
      </x:c>
      <x:c r="C161" s="176" t="n">
        <x:f>IFERROR(B161/B$157,0)</x:f>
        <x:v>0.2222222222222222</x:v>
      </x:c>
      <x:c r="D161" s="176" t="n">
        <x:f>C161*D$157</x:f>
        <x:v>0.001388888888888889</x:v>
      </x:c>
    </x:row>
    <x:row r="162" ht="22" customHeight="1">
      <x:c r="A162" s="170" t="s">
        <x:v>208</x:v>
      </x:c>
      <x:c r="B162" s="171" t="n">
        <x:f>SUM(B163:B167)</x:f>
        <x:v>11</x:v>
      </x:c>
      <x:c r="C162" s="172" t="n">
        <x:f>SUM(C163:C167)</x:f>
        <x:v>1</x:v>
      </x:c>
      <x:c r="D162" s="173" t="n">
        <x:f>D147*J81</x:f>
        <x:v>0.00625</x:v>
      </x:c>
    </x:row>
    <x:row r="163" ht="20" customHeight="1">
      <x:c r="A163" s="180" t="s">
        <x:v>209</x:v>
      </x:c>
      <x:c r="B163" s="185" t="n">
        <x:f>'항목별 평가'!B168</x:f>
        <x:v>2</x:v>
      </x:c>
      <x:c r="C163" s="182" t="n">
        <x:f>IFERROR(B163/B$162,0)</x:f>
        <x:v>0.18181818181818182</x:v>
      </x:c>
      <x:c r="D163" s="182" t="n">
        <x:f>C163*D$162</x:f>
        <x:v>0.0011363636363636365</x:v>
      </x:c>
    </x:row>
    <x:row r="164" ht="20" customHeight="1">
      <x:c r="A164" s="174" t="s">
        <x:v>210</x:v>
      </x:c>
      <x:c r="B164" s="183" t="n">
        <x:f>'항목별 평가'!B169</x:f>
        <x:v>2</x:v>
      </x:c>
      <x:c r="C164" s="176" t="n">
        <x:f>IFERROR(B164/B$162,0)</x:f>
        <x:v>0.18181818181818182</x:v>
      </x:c>
      <x:c r="D164" s="176" t="n">
        <x:f>C164*D$162</x:f>
        <x:v>0.0011363636363636365</x:v>
      </x:c>
    </x:row>
    <x:row r="165" ht="20" customHeight="1">
      <x:c r="A165" s="180" t="s">
        <x:v>211</x:v>
      </x:c>
      <x:c r="B165" s="185" t="n">
        <x:f>'항목별 평가'!B170</x:f>
        <x:v>2</x:v>
      </x:c>
      <x:c r="C165" s="182" t="n">
        <x:f>IFERROR(B165/B$162,0)</x:f>
        <x:v>0.18181818181818182</x:v>
      </x:c>
      <x:c r="D165" s="182" t="n">
        <x:f>C165*D$162</x:f>
        <x:v>0.0011363636363636365</x:v>
      </x:c>
    </x:row>
    <x:row r="166" ht="20" customHeight="1">
      <x:c r="A166" s="174" t="s">
        <x:v>212</x:v>
      </x:c>
      <x:c r="B166" s="183" t="n">
        <x:f>'항목별 평가'!B171</x:f>
        <x:v>3</x:v>
      </x:c>
      <x:c r="C166" s="176" t="n">
        <x:f>IFERROR(B166/B$162,0)</x:f>
        <x:v>0.2727272727272727</x:v>
      </x:c>
      <x:c r="D166" s="176" t="n">
        <x:f>C166*D$162</x:f>
        <x:v>0.0017045454545454545</x:v>
      </x:c>
    </x:row>
    <x:row r="167" ht="20" customHeight="1">
      <x:c r="A167" s="180" t="s">
        <x:v>213</x:v>
      </x:c>
      <x:c r="B167" s="185" t="n">
        <x:f>'항목별 평가'!B172</x:f>
        <x:v>2</x:v>
      </x:c>
      <x:c r="C167" s="182" t="n">
        <x:f>IFERROR(B167/B$162,0)</x:f>
        <x:v>0.18181818181818182</x:v>
      </x:c>
      <x:c r="D167" s="182" t="n">
        <x:f>C167*D$162</x:f>
        <x:v>0.0011363636363636365</x:v>
      </x:c>
    </x:row>
    <x:row r="168" ht="24" customHeight="1">
      <x:c r="A168" s="162" t="str">
        <x:v>　알림 기능 (강승원)</x:v>
      </x:c>
      <x:c r="B168" s="188" t="str">
        <x:v>점수</x:v>
      </x:c>
      <x:c r="C168" s="189" t="str">
        <x:v>비율</x:v>
      </x:c>
      <x:c r="D168" s="165" t="n">
        <x:f>P4*J14</x:f>
        <x:v>0.0375</x:v>
      </x:c>
      <x:c r="R168"/>
      <x:c r="S168"/>
      <x:c r="T168"/>
      <x:c r="U168"/>
    </x:row>
    <x:row r="169" ht="22" customHeight="1">
      <x:c r="A169" s="170" t="str">
        <x:v>　　FR-NOT-01 가상 피팅 완료 알림 (준우,지현)</x:v>
      </x:c>
      <x:c r="B169" s="171" t="n">
        <x:f>SUM(B170:B172)</x:f>
        <x:v>7</x:v>
      </x:c>
      <x:c r="C169" s="172" t="n">
        <x:f>SUM(C170:C172)</x:f>
        <x:v>0.9999999999999999</x:v>
      </x:c>
      <x:c r="D169" s="173" t="n">
        <x:f>$D$168*J87</x:f>
        <x:v>0.009375</x:v>
      </x:c>
      <x:c r="R169"/>
      <x:c r="S169"/>
      <x:c r="T169"/>
      <x:c r="U169"/>
    </x:row>
    <x:row r="170" ht="20" customHeight="1">
      <x:c r="A170" s="174" t="str">
        <x:v>　　　• 공통 알림 목록 UI 구현</x:v>
      </x:c>
      <x:c r="B170" s="183" t="n">
        <x:f>'항목별 평가'!B175</x:f>
        <x:v>2</x:v>
      </x:c>
      <x:c r="C170" s="176" t="n">
        <x:f>IFERROR(B170/B$169,0)</x:f>
        <x:v>0.2857142857142857</x:v>
      </x:c>
      <x:c r="D170" s="176" t="n">
        <x:f>C170*D$169</x:f>
        <x:v>0.002678571428571428</x:v>
      </x:c>
      <x:c r="R170"/>
      <x:c r="S170"/>
      <x:c r="T170"/>
      <x:c r="U170"/>
    </x:row>
    <x:row r="171" ht="20" customHeight="1">
      <x:c r="A171" s="180" t="str">
        <x:v>　　　• 알림 읽음·안 읽음 상태 표시 및 처리</x:v>
      </x:c>
      <x:c r="B171" s="185" t="n">
        <x:f>'항목별 평가'!B176</x:f>
        <x:v>3</x:v>
      </x:c>
      <x:c r="C171" s="182" t="n">
        <x:f>IFERROR(B171/B$169,0)</x:f>
        <x:v>0.42857142857142855</x:v>
      </x:c>
      <x:c r="D171" s="182" t="n">
        <x:f>C171*D$169</x:f>
        <x:v>0.0040178571428571425</x:v>
      </x:c>
      <x:c r="R171"/>
      <x:c r="S171"/>
      <x:c r="T171"/>
      <x:c r="U171"/>
    </x:row>
    <x:row r="172" ht="20" customHeight="1">
      <x:c r="A172" s="174" t="str">
        <x:v>　　　• 완료 알림 선택 시 피팅 결과 화면으로 이동</x:v>
      </x:c>
      <x:c r="B172" s="183" t="n">
        <x:f>'항목별 평가'!B177</x:f>
        <x:v>2</x:v>
      </x:c>
      <x:c r="C172" s="176" t="n">
        <x:f>IFERROR(B172/B$169,0)</x:f>
        <x:v>0.2857142857142857</x:v>
      </x:c>
      <x:c r="D172" s="176" t="n">
        <x:f>C172*D$169</x:f>
        <x:v>0.002678571428571428</x:v>
      </x:c>
      <x:c r="R172"/>
      <x:c r="S172"/>
      <x:c r="T172"/>
      <x:c r="U172"/>
    </x:row>
    <x:row r="173" ht="22" customHeight="1">
      <x:c r="A173" s="170" t="str">
        <x:v>　　FR-NOT-02 가상 피팅 실패 알림</x:v>
      </x:c>
      <x:c r="B173" s="171" t="n">
        <x:f>SUM(B174:B176)</x:f>
        <x:v>4</x:v>
      </x:c>
      <x:c r="C173" s="172" t="n">
        <x:f>SUM(C174:C176)</x:f>
        <x:v>1</x:v>
      </x:c>
      <x:c r="D173" s="173" t="n">
        <x:f>$D$168*J88</x:f>
        <x:v>0.009375</x:v>
      </x:c>
      <x:c r="R173"/>
      <x:c r="S173"/>
      <x:c r="T173"/>
      <x:c r="U173"/>
    </x:row>
    <x:row r="174" ht="20" customHeight="1">
      <x:c r="A174" s="180" t="str">
        <x:v>　　　• 피팅 실패 알림 표시</x:v>
      </x:c>
      <x:c r="B174" s="185" t="n">
        <x:f>'항목별 평가'!B181</x:f>
        <x:v>1</x:v>
      </x:c>
      <x:c r="C174" s="182" t="n">
        <x:f>IFERROR(B174/B$173,0)</x:f>
        <x:v>0.25</x:v>
      </x:c>
      <x:c r="D174" s="182" t="n">
        <x:f>C174*D$173</x:f>
        <x:v>0.00234375</x:v>
      </x:c>
      <x:c r="R174"/>
      <x:c r="S174"/>
      <x:c r="T174"/>
      <x:c r="U174"/>
    </x:row>
    <x:row r="175" ht="20" customHeight="1">
      <x:c r="A175" s="174" t="str">
        <x:v>　　　• 알림 선택 시 해당 피팅 재시도 화면으로 이동</x:v>
      </x:c>
      <x:c r="B175" s="183" t="n">
        <x:f>'항목별 평가'!B182</x:f>
        <x:v>2</x:v>
      </x:c>
      <x:c r="C175" s="176" t="n">
        <x:f>IFERROR(B175/B$173,0)</x:f>
        <x:v>0.5</x:v>
      </x:c>
      <x:c r="D175" s="176" t="n">
        <x:f>C175*D$173</x:f>
        <x:v>0.0046875</x:v>
      </x:c>
      <x:c r="R175"/>
      <x:c r="S175"/>
      <x:c r="T175"/>
      <x:c r="U175"/>
    </x:row>
    <x:row r="176" ht="20" customHeight="1">
      <x:c r="A176" s="180" t="str">
        <x:v>　　　• 재시도 불가 상태 표시</x:v>
      </x:c>
      <x:c r="B176" s="185" t="n">
        <x:f>'항목별 평가'!B183</x:f>
        <x:v>1</x:v>
      </x:c>
      <x:c r="C176" s="182" t="n">
        <x:f>IFERROR(B176/B$173,0)</x:f>
        <x:v>0.25</x:v>
      </x:c>
      <x:c r="D176" s="182" t="n">
        <x:f>C176*D$173</x:f>
        <x:v>0.00234375</x:v>
      </x:c>
      <x:c r="R176"/>
      <x:c r="S176"/>
      <x:c r="T176"/>
      <x:c r="U176"/>
    </x:row>
    <x:row r="177" ht="22" customHeight="1">
      <x:c r="A177" s="170" t="str">
        <x:v>　　FR-NOT-03 내 게시글 댓글 알림</x:v>
      </x:c>
      <x:c r="B177" s="171" t="n">
        <x:f>SUM(B178:B180)</x:f>
        <x:v>4</x:v>
      </x:c>
      <x:c r="C177" s="172" t="n">
        <x:f>SUM(C178:C180)</x:f>
        <x:v>1</x:v>
      </x:c>
      <x:c r="D177" s="173" t="n">
        <x:f>$D$168*J89</x:f>
        <x:v>0.009375</x:v>
      </x:c>
      <x:c r="R177"/>
      <x:c r="S177"/>
      <x:c r="T177"/>
      <x:c r="U177"/>
    </x:row>
    <x:row r="178" ht="20" customHeight="1">
      <x:c r="A178" s="174" t="str">
        <x:v>　　　• 댓글 알림 표시</x:v>
      </x:c>
      <x:c r="B178" s="183" t="n">
        <x:f>'항목별 평가'!B188</x:f>
        <x:v>1</x:v>
      </x:c>
      <x:c r="C178" s="176" t="n">
        <x:f>IFERROR(B178/B$177,0)</x:f>
        <x:v>0.25</x:v>
      </x:c>
      <x:c r="D178" s="176" t="n">
        <x:f>C178*D$177</x:f>
        <x:v>0.00234375</x:v>
      </x:c>
      <x:c r="R178"/>
      <x:c r="S178"/>
      <x:c r="T178"/>
      <x:c r="U178"/>
    </x:row>
    <x:row r="179" ht="20" customHeight="1">
      <x:c r="A179" s="180" t="str">
        <x:v>　　　• 알림 선택 시 해당 게시글 상세로 이동</x:v>
      </x:c>
      <x:c r="B179" s="185" t="n">
        <x:f>'항목별 평가'!B189</x:f>
        <x:v>2</x:v>
      </x:c>
      <x:c r="C179" s="182" t="n">
        <x:f>IFERROR(B179/B$177,0)</x:f>
        <x:v>0.5</x:v>
      </x:c>
      <x:c r="D179" s="182" t="n">
        <x:f>C179*D$177</x:f>
        <x:v>0.0046875</x:v>
      </x:c>
      <x:c r="R179"/>
      <x:c r="S179"/>
      <x:c r="T179"/>
      <x:c r="U179"/>
    </x:row>
    <x:row r="180" ht="20" customHeight="1">
      <x:c r="A180" s="174" t="str">
        <x:v>　　　• 게시글을 볼 수 없는 경우 안내 표시</x:v>
      </x:c>
      <x:c r="B180" s="183" t="n">
        <x:f>'항목별 평가'!B190</x:f>
        <x:v>1</x:v>
      </x:c>
      <x:c r="C180" s="176" t="n">
        <x:f>IFERROR(B180/B$177,0)</x:f>
        <x:v>0.25</x:v>
      </x:c>
      <x:c r="D180" s="176" t="n">
        <x:f>C180*D$177</x:f>
        <x:v>0.00234375</x:v>
      </x:c>
      <x:c r="R180"/>
      <x:c r="S180"/>
      <x:c r="T180"/>
      <x:c r="U180"/>
    </x:row>
    <x:row r="181" ht="22" customHeight="1">
      <x:c r="A181" s="170" t="str">
        <x:v>　　FR-NOT-04 내 게시글 투표 마감 알림</x:v>
      </x:c>
      <x:c r="B181" s="171" t="n">
        <x:f>SUM(B182:B184)</x:f>
        <x:v>5</x:v>
      </x:c>
      <x:c r="C181" s="172" t="n">
        <x:f>SUM(C182:C184)</x:f>
        <x:v>1</x:v>
      </x:c>
      <x:c r="D181" s="173" t="n">
        <x:f>$D$168*J90</x:f>
        <x:v>0.009375</x:v>
      </x:c>
      <x:c r="R181"/>
      <x:c r="S181"/>
      <x:c r="T181"/>
      <x:c r="U181"/>
    </x:row>
    <x:row r="182" ht="20" customHeight="1">
      <x:c r="A182" s="180" t="str">
        <x:v>　　　• 투표 마감 알림 표시</x:v>
      </x:c>
      <x:c r="B182" s="185" t="n">
        <x:f>'항목별 평가'!B194</x:f>
        <x:v>1</x:v>
      </x:c>
      <x:c r="C182" s="182" t="n">
        <x:f>IFERROR(B182/B$181,0)</x:f>
        <x:v>0.2</x:v>
      </x:c>
      <x:c r="D182" s="182" t="n">
        <x:f>C182*D$181</x:f>
        <x:v>0.001875</x:v>
      </x:c>
      <x:c r="R182"/>
      <x:c r="S182"/>
      <x:c r="T182"/>
      <x:c r="U182"/>
    </x:row>
    <x:row r="183" ht="20" customHeight="1">
      <x:c r="A183" s="174" t="str">
        <x:v>　　　• 알림 선택 시 해당 게시글 상세로 이동</x:v>
      </x:c>
      <x:c r="B183" s="183" t="n">
        <x:f>'항목별 평가'!B195</x:f>
        <x:v>2</x:v>
      </x:c>
      <x:c r="C183" s="176" t="n">
        <x:f>IFERROR(B183/B$181,0)</x:f>
        <x:v>0.4</x:v>
      </x:c>
      <x:c r="D183" s="176" t="n">
        <x:f>C183*D$181</x:f>
        <x:v>0.00375</x:v>
      </x:c>
      <x:c r="R183"/>
      <x:c r="S183"/>
      <x:c r="T183"/>
      <x:c r="U183"/>
    </x:row>
    <x:row r="184" ht="20" customHeight="1">
      <x:c r="A184" s="180" t="str">
        <x:v>　　　• 게시글 내 최종 투표 결과 표시</x:v>
      </x:c>
      <x:c r="B184" s="185" t="n">
        <x:f>'항목별 평가'!B196</x:f>
        <x:v>2</x:v>
      </x:c>
      <x:c r="C184" s="182" t="n">
        <x:f>IFERROR(B184/B$181,0)</x:f>
        <x:v>0.4</x:v>
      </x:c>
      <x:c r="D184" s="182" t="n">
        <x:f>C184*D$181</x:f>
        <x:v>0.00375</x:v>
      </x:c>
      <x:c r="R184"/>
      <x:c r="S184"/>
      <x:c r="T184"/>
      <x:c r="U184"/>
    </x:row>
    <x:row r="185" ht="27" customHeight="1">
      <x:c r="A185" s="154" t="str">
        <x:v>백엔드</x:v>
      </x:c>
      <x:c r="B185" s="193"/>
      <x:c r="C185" s="194"/>
      <x:c r="D185" s="195" t="n">
        <x:f>SUM(D186,D210,D226,D238,D267,D309,D328)</x:f>
        <x:v>0.29999999999999993</x:v>
      </x:c>
      <x:c r="R185"/>
      <x:c r="S185"/>
      <x:c r="T185"/>
      <x:c r="U185"/>
    </x:row>
    <x:row r="186" ht="24" customHeight="1">
      <x:c r="A186" s="162" t="str">
        <x:v>　계정과 사용자 프로필 (준우, 지현)</x:v>
      </x:c>
      <x:c r="B186" s="188" t="str">
        <x:v>점수</x:v>
      </x:c>
      <x:c r="C186" s="189" t="str">
        <x:v>비율</x:v>
      </x:c>
      <x:c r="D186" s="165" t="n">
        <x:f>P5*J20</x:f>
        <x:v>0.0409090909090909</x:v>
      </x:c>
      <x:c r="R186"/>
      <x:c r="S186"/>
      <x:c r="T186"/>
      <x:c r="U186"/>
    </x:row>
    <x:row r="187" ht="22" customHeight="1">
      <x:c r="A187" s="170" t="str">
        <x:v>　　FR-ACC-01 회원가입 및 로그인(준우, 지현)</x:v>
      </x:c>
      <x:c r="B187" s="171" t="n">
        <x:f>SUM(B188:B194)</x:f>
        <x:v>19</x:v>
      </x:c>
      <x:c r="C187" s="172" t="n">
        <x:f>SUM(C188:C194)</x:f>
        <x:v>1</x:v>
      </x:c>
      <x:c r="D187" s="173" t="n">
        <x:f>D186*L32</x:f>
        <x:v>0.013636363636363634</x:v>
      </x:c>
      <x:c r="R187"/>
      <x:c r="S187"/>
      <x:c r="T187"/>
      <x:c r="U187"/>
    </x:row>
    <x:row r="188" ht="20" customHeight="1">
      <x:c r="A188" s="174" t="str">
        <x:v>　　　• 사용자 계정 엔티티 및 저장 구조 구현</x:v>
      </x:c>
      <x:c r="B188" s="183" t="n">
        <x:f>'항목별 평가'!B203</x:f>
        <x:v>2</x:v>
      </x:c>
      <x:c r="C188" s="176" t="n">
        <x:f>IFERROR(B188/B$187,0)</x:f>
        <x:v>0.10526315789473684</x:v>
      </x:c>
      <x:c r="D188" s="176" t="n">
        <x:f>C188*D$187</x:f>
        <x:v>0.001435406698564593</x:v>
      </x:c>
      <x:c r="R188"/>
      <x:c r="S188"/>
      <x:c r="T188"/>
      <x:c r="U188"/>
    </x:row>
    <x:row r="189" ht="20" customHeight="1">
      <x:c r="A189" s="180" t="str">
        <x:v>　　　• 회원가입 API 구현 (이메일 형식·비밀번호 규칙 검증, 이메일 중복 검사)</x:v>
      </x:c>
      <x:c r="B189" s="185" t="n">
        <x:f>'항목별 평가'!B204</x:f>
        <x:v>3</x:v>
      </x:c>
      <x:c r="C189" s="182" t="n">
        <x:f>IFERROR(B189/B$187,0)</x:f>
        <x:v>0.15789473684210525</x:v>
      </x:c>
      <x:c r="D189" s="182" t="n">
        <x:f>C189*D$187</x:f>
        <x:v>0.0021531100478468894</x:v>
      </x:c>
      <x:c r="R189"/>
      <x:c r="S189"/>
      <x:c r="T189"/>
      <x:c r="U189"/>
    </x:row>
    <x:row r="190" ht="20" customHeight="1">
      <x:c r="A190" s="174" t="str">
        <x:v>　　　• 비밀번호 해시(BCrypt) 저장 구현</x:v>
      </x:c>
      <x:c r="B190" s="183" t="n">
        <x:f>'항목별 평가'!B205</x:f>
        <x:v>2</x:v>
      </x:c>
      <x:c r="C190" s="176" t="n">
        <x:f>IFERROR(B190/B$187,0)</x:f>
        <x:v>0.10526315789473684</x:v>
      </x:c>
      <x:c r="D190" s="176" t="n">
        <x:f>C190*D$187</x:f>
        <x:v>0.001435406698564593</x:v>
      </x:c>
      <x:c r="R190"/>
      <x:c r="S190"/>
      <x:c r="T190"/>
      <x:c r="U190"/>
    </x:row>
    <x:row r="191" ht="20" customHeight="1">
      <x:c r="A191" s="180" t="str">
        <x:v>　　　• 로그인 API 구현 (계정 상태 확인, 실패 시 이메일·비밀번호 구분 없는 통합 오류 메시지)</x:v>
      </x:c>
      <x:c r="B191" s="185" t="n">
        <x:f>'항목별 평가'!B206</x:f>
        <x:v>3</x:v>
      </x:c>
      <x:c r="C191" s="182" t="n">
        <x:f>IFERROR(B191/B$187,0)</x:f>
        <x:v>0.15789473684210525</x:v>
      </x:c>
      <x:c r="D191" s="182" t="n">
        <x:f>C191*D$187</x:f>
        <x:v>0.0021531100478468894</x:v>
      </x:c>
      <x:c r="R191"/>
      <x:c r="S191"/>
      <x:c r="T191"/>
      <x:c r="U191"/>
    </x:row>
    <x:row r="192" ht="20" customHeight="1">
      <x:c r="A192" s="174" t="str">
        <x:v>　　　• Access Token / Refresh Token 발급 구현 (Refresh Token은 Redis에 저장)</x:v>
      </x:c>
      <x:c r="B192" s="183" t="n">
        <x:f>'항목별 평가'!B207</x:f>
        <x:v>3</x:v>
      </x:c>
      <x:c r="C192" s="176" t="n">
        <x:f>IFERROR(B192/B$187,0)</x:f>
        <x:v>0.15789473684210525</x:v>
      </x:c>
      <x:c r="D192" s="176" t="n">
        <x:f>C192*D$187</x:f>
        <x:v>0.0021531100478468894</x:v>
      </x:c>
      <x:c r="R192"/>
      <x:c r="S192"/>
      <x:c r="T192"/>
      <x:c r="U192"/>
    </x:row>
    <x:row r="193" ht="20" customHeight="1">
      <x:c r="A193" s="180" t="str">
        <x:v>　　　• 토큰 재발급 API 구현</x:v>
      </x:c>
      <x:c r="B193" s="185" t="n">
        <x:f>'항목별 평가'!B208</x:f>
        <x:v>3</x:v>
      </x:c>
      <x:c r="C193" s="182" t="n">
        <x:f>IFERROR(B193/B$187,0)</x:f>
        <x:v>0.15789473684210525</x:v>
      </x:c>
      <x:c r="D193" s="182" t="n">
        <x:f>C193*D$187</x:f>
        <x:v>0.0021531100478468894</x:v>
      </x:c>
      <x:c r="R193"/>
      <x:c r="S193"/>
      <x:c r="T193"/>
      <x:c r="U193"/>
    </x:row>
    <x:row r="194" ht="20" customHeight="1">
      <x:c r="A194" s="174" t="str">
        <x:v>　　　• Gateway JWT 검증 필터 연동 (검증 로직은 Gateway, 사용자 식별값 헤더 전달 방식 합의)</x:v>
      </x:c>
      <x:c r="B194" s="183" t="n">
        <x:f>'항목별 평가'!B209</x:f>
        <x:v>3</x:v>
      </x:c>
      <x:c r="C194" s="176" t="n">
        <x:f>IFERROR(B194/B$187,0)</x:f>
        <x:v>0.15789473684210525</x:v>
      </x:c>
      <x:c r="D194" s="176" t="n">
        <x:f>C194*D$187</x:f>
        <x:v>0.0021531100478468894</x:v>
      </x:c>
      <x:c r="R194"/>
      <x:c r="S194"/>
      <x:c r="T194"/>
      <x:c r="U194"/>
    </x:row>
    <x:row r="195" ht="22" customHeight="1">
      <x:c r="A195" s="170" t="str">
        <x:v>　　FR-ACC-03 로그아웃 및 세션 폐기</x:v>
      </x:c>
      <x:c r="B195" s="171" t="n">
        <x:f>SUM(B196:B199)</x:f>
        <x:v>10</x:v>
      </x:c>
      <x:c r="C195" s="172" t="n">
        <x:f>SUM(C196:C199)</x:f>
        <x:v>1</x:v>
      </x:c>
      <x:c r="D195" s="173" t="n">
        <x:f>D186*L33</x:f>
        <x:v>0.013636363636363634</x:v>
      </x:c>
      <x:c r="R195"/>
      <x:c r="S195"/>
      <x:c r="T195"/>
      <x:c r="U195"/>
    </x:row>
    <x:row r="196" ht="20" customHeight="1">
      <x:c r="A196" s="180" t="str">
        <x:v>　　　• 로그아웃 API 구현 (Redis의 Refresh Token 삭제)</x:v>
      </x:c>
      <x:c r="B196" s="185" t="n">
        <x:f>'항목별 평가'!B211</x:f>
        <x:v>2</x:v>
      </x:c>
      <x:c r="C196" s="182" t="n">
        <x:f>IFERROR(B196/B$195,0)</x:f>
        <x:v>0.2</x:v>
      </x:c>
      <x:c r="D196" s="182" t="n">
        <x:f>C196*D$195</x:f>
        <x:v>0.002727272727272727</x:v>
      </x:c>
      <x:c r="R196"/>
      <x:c r="S196"/>
      <x:c r="T196"/>
      <x:c r="U196"/>
    </x:row>
    <x:row r="197" ht="20" customHeight="1">
      <x:c r="A197" s="174" t="str">
        <x:v>　　　• Access Token 블랙리스트 등록 구현 (Redis, TTL = 토큰 남은 만료 시간)</x:v>
      </x:c>
      <x:c r="B197" s="183" t="n">
        <x:f>'항목별 평가'!B212</x:f>
        <x:v>3</x:v>
      </x:c>
      <x:c r="C197" s="176" t="n">
        <x:f>IFERROR(B197/B$195,0)</x:f>
        <x:v>0.3</x:v>
      </x:c>
      <x:c r="D197" s="176" t="n">
        <x:f>C197*D$195</x:f>
        <x:v>0.00409090909090909</x:v>
      </x:c>
      <x:c r="R197"/>
      <x:c r="S197"/>
      <x:c r="T197"/>
      <x:c r="U197"/>
    </x:row>
    <x:row r="198" ht="20" customHeight="1">
      <x:c r="A198" s="180" t="str">
        <x:v>　　　• Gateway에서 블랙리스트 토큰 거부 연동</x:v>
      </x:c>
      <x:c r="B198" s="185" t="n">
        <x:f>'항목별 평가'!B213</x:f>
        <x:v>3</x:v>
      </x:c>
      <x:c r="C198" s="182" t="n">
        <x:f>IFERROR(B198/B$195,0)</x:f>
        <x:v>0.3</x:v>
      </x:c>
      <x:c r="D198" s="182" t="n">
        <x:f>C198*D$195</x:f>
        <x:v>0.00409090909090909</x:v>
      </x:c>
      <x:c r="R198"/>
      <x:c r="S198"/>
      <x:c r="T198"/>
      <x:c r="U198"/>
    </x:row>
    <x:row r="199" ht="20" customHeight="1">
      <x:c r="A199" s="174" t="str">
        <x:v>　　　• 이미 로그아웃된 세션의 재요청도 성공으로 응답 (멱등 처리)</x:v>
      </x:c>
      <x:c r="B199" s="183" t="n">
        <x:f>'항목별 평가'!B214</x:f>
        <x:v>2</x:v>
      </x:c>
      <x:c r="C199" s="176" t="n">
        <x:f>IFERROR(B199/B$195,0)</x:f>
        <x:v>0.2</x:v>
      </x:c>
      <x:c r="D199" s="176" t="n">
        <x:f>C199*D$195</x:f>
        <x:v>0.002727272727272727</x:v>
      </x:c>
      <x:c r="R199"/>
      <x:c r="S199"/>
      <x:c r="T199"/>
      <x:c r="U199"/>
    </x:row>
    <x:row r="200" ht="22" customHeight="1">
      <x:c r="A200" s="170" t="str">
        <x:v>　　FR-PRF-01 온보딩 프로필</x:v>
      </x:c>
      <x:c r="B200" s="171" t="n">
        <x:f>SUM(B201:B204)</x:f>
        <x:v>8</x:v>
      </x:c>
      <x:c r="C200" s="172" t="n">
        <x:f>SUM(C201:C204)</x:f>
        <x:v>1</x:v>
      </x:c>
      <x:c r="D200" s="173" t="n">
        <x:f>D186*L34</x:f>
        <x:v>0.006818181818181817</x:v>
      </x:c>
      <x:c r="R200"/>
      <x:c r="S200"/>
      <x:c r="T200"/>
      <x:c r="U200"/>
    </x:row>
    <x:row r="201" ht="20" customHeight="1">
      <x:c r="A201" s="180" t="str">
        <x:v>　　　• 스타일·체형 태그 목록 정의 (코드 상수) 및 조회 API 구현</x:v>
      </x:c>
      <x:c r="B201" s="185" t="n">
        <x:f>'항목별 평가'!B216</x:f>
        <x:v>2</x:v>
      </x:c>
      <x:c r="C201" s="182" t="n">
        <x:f>IFERROR(B201/B$200,0)</x:f>
        <x:v>0.25</x:v>
      </x:c>
      <x:c r="D201" s="182" t="n">
        <x:f>C201*D$200</x:f>
        <x:v>0.0017045454545454542</x:v>
      </x:c>
      <x:c r="R201"/>
      <x:c r="S201"/>
      <x:c r="T201"/>
      <x:c r="U201"/>
    </x:row>
    <x:row r="202" ht="20" customHeight="1">
      <x:c r="A202" s="174" t="str">
        <x:v>　　　• 회원가입 시 빈 신체정보 행 생성 (건너뛰기 대응)</x:v>
      </x:c>
      <x:c r="B202" s="183" t="n">
        <x:f>'항목별 평가'!B217</x:f>
        <x:v>2</x:v>
      </x:c>
      <x:c r="C202" s="176" t="n">
        <x:f>IFERROR(B202/B$200,0)</x:f>
        <x:v>0.25</x:v>
      </x:c>
      <x:c r="D202" s="176" t="n">
        <x:f>C202*D$200</x:f>
        <x:v>0.0017045454545454542</x:v>
      </x:c>
      <x:c r="R202"/>
      <x:c r="S202"/>
      <x:c r="T202"/>
      <x:c r="U202"/>
    </x:row>
    <x:row r="203" ht="20" customHeight="1">
      <x:c r="A203" s="180" t="str">
        <x:v>　　　• 온보딩 프로필 저장 API 구현 (단위·허용 범위 검증)</x:v>
      </x:c>
      <x:c r="B203" s="185" t="n">
        <x:f>'항목별 평가'!B218</x:f>
        <x:v>2</x:v>
      </x:c>
      <x:c r="C203" s="182" t="n">
        <x:f>IFERROR(B203/B$200,0)</x:f>
        <x:v>0.25</x:v>
      </x:c>
      <x:c r="D203" s="182" t="n">
        <x:f>C203*D$200</x:f>
        <x:v>0.0017045454545454542</x:v>
      </x:c>
      <x:c r="R203"/>
      <x:c r="S203"/>
      <x:c r="T203"/>
      <x:c r="U203"/>
    </x:row>
    <x:row r="204" ht="20" customHeight="1">
      <x:c r="A204" s="174" t="str">
        <x:v>　　　• 추천 서비스용 내부 프로필 조회 API 구현 (미입력 필드 제외하여 반환)</x:v>
      </x:c>
      <x:c r="B204" s="183" t="n">
        <x:f>'항목별 평가'!B219</x:f>
        <x:v>2</x:v>
      </x:c>
      <x:c r="C204" s="176" t="n">
        <x:f>IFERROR(B204/B$200,0)</x:f>
        <x:v>0.25</x:v>
      </x:c>
      <x:c r="D204" s="176" t="n">
        <x:f>C204*D$200</x:f>
        <x:v>0.0017045454545454542</x:v>
      </x:c>
      <x:c r="R204"/>
      <x:c r="S204"/>
      <x:c r="T204"/>
      <x:c r="U204"/>
    </x:row>
    <x:row r="205" ht="22" customHeight="1">
      <x:c r="A205" s="170" t="str">
        <x:v>　　FR-PRF-02 실측과 프로필 관리</x:v>
      </x:c>
      <x:c r="B205" s="171" t="n">
        <x:f>SUM(B206:B209)</x:f>
        <x:v>9</x:v>
      </x:c>
      <x:c r="C205" s="172" t="n">
        <x:f>SUM(C206:C209)</x:f>
        <x:v>1</x:v>
      </x:c>
      <x:c r="D205" s="173" t="n">
        <x:f>D186*L35</x:f>
        <x:v>0.006818181818181817</x:v>
      </x:c>
      <x:c r="R205"/>
      <x:c r="S205"/>
      <x:c r="T205"/>
      <x:c r="U205"/>
    </x:row>
    <x:row r="206" ht="20" customHeight="1">
      <x:c r="A206" s="180" t="str">
        <x:v>　　　• 본인 프로필 조회 API 구현 (`/users/me` 형태, 토큰의 사용자 ID 사용)</x:v>
      </x:c>
      <x:c r="B206" s="185" t="n">
        <x:f>'항목별 평가'!B221</x:f>
        <x:v>2</x:v>
      </x:c>
      <x:c r="C206" s="182" t="n">
        <x:f>IFERROR(B206/B$205,0)</x:f>
        <x:v>0.2222222222222222</x:v>
      </x:c>
      <x:c r="D206" s="182" t="n">
        <x:f>C206*D$205</x:f>
        <x:v>0.0015151515151515147</x:v>
      </x:c>
      <x:c r="R206"/>
      <x:c r="S206"/>
      <x:c r="T206"/>
      <x:c r="U206"/>
    </x:row>
    <x:row r="207" ht="20" customHeight="1">
      <x:c r="A207" s="174" t="str">
        <x:v>　　　• 프로필 부분 수정 API 구현 (PATCH, 미전달 필드와 null 필드 구분 처리)</x:v>
      </x:c>
      <x:c r="B207" s="183" t="n">
        <x:f>'항목별 평가'!B222</x:f>
        <x:v>3</x:v>
      </x:c>
      <x:c r="C207" s="176" t="n">
        <x:f>IFERROR(B207/B$205,0)</x:f>
        <x:v>0.3333333333333333</x:v>
      </x:c>
      <x:c r="D207" s="176" t="n">
        <x:f>C207*D$205</x:f>
        <x:v>0.002272727272727272</x:v>
      </x:c>
      <x:c r="R207"/>
      <x:c r="S207"/>
      <x:c r="T207"/>
      <x:c r="U207"/>
    </x:row>
    <x:row r="208" ht="20" customHeight="1">
      <x:c r="A208" s="180" t="str">
        <x:v>　　　• 프로필 필드 삭제 구현 (해당 필드 NULL 처리)</x:v>
      </x:c>
      <x:c r="B208" s="185" t="n">
        <x:f>'항목별 평가'!B223</x:f>
        <x:v>2</x:v>
      </x:c>
      <x:c r="C208" s="182" t="n">
        <x:f>IFERROR(B208/B$205,0)</x:f>
        <x:v>0.2222222222222222</x:v>
      </x:c>
      <x:c r="D208" s="182" t="n">
        <x:f>C208*D$205</x:f>
        <x:v>0.0015151515151515147</x:v>
      </x:c>
      <x:c r="R208"/>
      <x:c r="S208"/>
      <x:c r="T208"/>
      <x:c r="U208"/>
    </x:row>
    <x:row r="209" ht="20" customHeight="1">
      <x:c r="A209" s="174" t="str">
        <x:v>　　　• 수치 항목 단위·허용 범위 검증</x:v>
      </x:c>
      <x:c r="B209" s="183" t="n">
        <x:f>'항목별 평가'!B224</x:f>
        <x:v>2</x:v>
      </x:c>
      <x:c r="C209" s="176" t="n">
        <x:f>IFERROR(B209/B$205,0)</x:f>
        <x:v>0.2222222222222222</x:v>
      </x:c>
      <x:c r="D209" s="176" t="n">
        <x:f>C209*D$205</x:f>
        <x:v>0.0015151515151515147</x:v>
      </x:c>
      <x:c r="R209"/>
      <x:c r="S209"/>
      <x:c r="T209"/>
      <x:c r="U209"/>
    </x:row>
    <x:row r="210" ht="24" customHeight="1">
      <x:c r="A210" s="162" t="str">
        <x:v>　상품 탐색과 상세 정보 (준우, 주희)</x:v>
      </x:c>
      <x:c r="B210" s="188" t="str">
        <x:v>점수</x:v>
      </x:c>
      <x:c r="C210" s="189" t="str">
        <x:v>비율</x:v>
      </x:c>
      <x:c r="D210" s="165" t="n">
        <x:f>P5*J21</x:f>
        <x:v>0.02727272727272727</x:v>
      </x:c>
      <x:c r="R210"/>
      <x:c r="S210"/>
      <x:c r="T210"/>
      <x:c r="U210"/>
    </x:row>
    <x:row r="211" ht="22" customHeight="1">
      <x:c r="A211" s="170" t="str">
        <x:v>　　FR-CAT-01 상품 목록 확인</x:v>
      </x:c>
      <x:c r="B211" s="171" t="n">
        <x:f>SUM(B212:B216)</x:f>
        <x:v>12</x:v>
      </x:c>
      <x:c r="C211" s="172" t="n">
        <x:f>SUM(C212:C216)</x:f>
        <x:v>1</x:v>
      </x:c>
      <x:c r="D211" s="173" t="n">
        <x:f>D210*L52</x:f>
        <x:v>0.01090909090909091</x:v>
      </x:c>
      <x:c r="R211"/>
      <x:c r="S211"/>
      <x:c r="T211"/>
      <x:c r="U211"/>
    </x:row>
    <x:row r="212" ht="20" customHeight="1">
      <x:c r="A212" s="180" t="str">
        <x:v>　　　• 카테고리 조건에 따른 동적 쿼리 조회 로직 구현</x:v>
      </x:c>
      <x:c r="B212" s="185" t="n">
        <x:f>'항목별 평가'!B227</x:f>
        <x:v>3</x:v>
      </x:c>
      <x:c r="C212" s="182" t="n">
        <x:f>IFERROR(B212/B$211,0)</x:f>
        <x:v>0.25</x:v>
      </x:c>
      <x:c r="D212" s="182" t="n">
        <x:f>C212*D$211</x:f>
        <x:v>0.0027272727272727275</x:v>
      </x:c>
      <x:c r="R212"/>
      <x:c r="S212"/>
      <x:c r="T212"/>
      <x:c r="U212"/>
    </x:row>
    <x:row r="213" ht="20" customHeight="1">
      <x:c r="A213" s="174" t="str">
        <x:v>　　　• 프론트엔드 렌더링 최적화용 상품 요약 DTO 설계 및 데이터 가공</x:v>
      </x:c>
      <x:c r="B213" s="183" t="n">
        <x:f>'항목별 평가'!B228</x:f>
        <x:v>2</x:v>
      </x:c>
      <x:c r="C213" s="176" t="n">
        <x:f>IFERROR(B213/B$211,0)</x:f>
        <x:v>0.16666666666666666</x:v>
      </x:c>
      <x:c r="D213" s="176" t="n">
        <x:f>C213*D$211</x:f>
        <x:v>0.0018181818181818182</x:v>
      </x:c>
      <x:c r="R213"/>
      <x:c r="S213"/>
      <x:c r="T213"/>
      <x:c r="U213"/>
    </x:row>
    <x:row r="214" ht="20" customHeight="1">
      <x:c r="A214" s="180" t="str">
        <x:v>　　　• 앱 환경(무한 스크롤 등)을 고려&amp;#xD55C;**&amp;#x20;**&amp;#xD398;이징(Pagination) 처리 구현</x:v>
      </x:c>
      <x:c r="B214" s="185" t="n">
        <x:f>'항목별 평가'!B229</x:f>
        <x:v>3</x:v>
      </x:c>
      <x:c r="C214" s="182" t="n">
        <x:f>IFERROR(B214/B$211,0)</x:f>
        <x:v>0.25</x:v>
      </x:c>
      <x:c r="D214" s="182" t="n">
        <x:f>C214*D$211</x:f>
        <x:v>0.0027272727272727275</x:v>
      </x:c>
      <x:c r="R214"/>
      <x:c r="S214"/>
      <x:c r="T214"/>
      <x:c r="U214"/>
    </x:row>
    <x:row r="215" ht="20" customHeight="1">
      <x:c r="A215" s="174" t="str">
        <x:v>　　　• 상품 조회 시 쿼리 성능을 높이기 위해 연관 데이터(브랜드 등)를 한 번에 가져오는 최적화 적용</x:v>
      </x:c>
      <x:c r="B215" s="183" t="n">
        <x:f>'항목별 평가'!B230</x:f>
        <x:v>3</x:v>
      </x:c>
      <x:c r="C215" s="176" t="n">
        <x:f>IFERROR(B215/B$211,0)</x:f>
        <x:v>0.25</x:v>
      </x:c>
      <x:c r="D215" s="176" t="n">
        <x:f>C215*D$211</x:f>
        <x:v>0.0027272727272727275</x:v>
      </x:c>
      <x:c r="R215"/>
      <x:c r="S215"/>
      <x:c r="T215"/>
      <x:c r="U215"/>
    </x:row>
    <x:row r="216" ht="20" customHeight="1">
      <x:c r="A216" s="180" t="str">
        <x:v>　　　• 검색 결과가 0개일 경우 에러 대신 안전하게 '빈 목록' 응답 처리</x:v>
      </x:c>
      <x:c r="B216" s="185" t="n">
        <x:f>'항목별 평가'!B231</x:f>
        <x:v>1</x:v>
      </x:c>
      <x:c r="C216" s="182" t="n">
        <x:f>IFERROR(B216/B$211,0)</x:f>
        <x:v>0.08333333333333333</x:v>
      </x:c>
      <x:c r="D216" s="182" t="n">
        <x:f>C216*D$211</x:f>
        <x:v>0.0009090909090909091</x:v>
      </x:c>
      <x:c r="R216"/>
      <x:c r="S216"/>
      <x:c r="T216"/>
      <x:c r="U216"/>
    </x:row>
    <x:row r="217" ht="22" customHeight="1">
      <x:c r="A217" s="170" t="str">
        <x:v>　　FR-CAT-02 정렬과 목록 상태</x:v>
      </x:c>
      <x:c r="B217" s="171" t="n">
        <x:f>SUM(B218:B221)</x:f>
        <x:v>7</x:v>
      </x:c>
      <x:c r="C217" s="172" t="n">
        <x:f>SUM(C218:C221)</x:f>
        <x:v>1</x:v>
      </x:c>
      <x:c r="D217" s="173" t="n">
        <x:f>D210*L53</x:f>
        <x:v>0.005454545454545455</x:v>
      </x:c>
      <x:c r="R217"/>
      <x:c r="S217"/>
      <x:c r="T217"/>
      <x:c r="U217"/>
    </x:row>
    <x:row r="218" ht="20" customHeight="1">
      <x:c r="A218" s="174" t="str">
        <x:v>　　　• 요청 파라미터(낮은 가격순, 최신순 등) 기반 동적 정렬 쿼리 구현</x:v>
      </x:c>
      <x:c r="B218" s="183" t="n">
        <x:f>'항목별 평가'!B233</x:f>
        <x:v>2</x:v>
      </x:c>
      <x:c r="C218" s="176" t="n">
        <x:f>IFERROR(B218/B$217,0)</x:f>
        <x:v>0.2857142857142857</x:v>
      </x:c>
      <x:c r="D218" s="176" t="n">
        <x:f>C218*D$217</x:f>
        <x:v>0.0015584415584415584</x:v>
      </x:c>
      <x:c r="R218"/>
      <x:c r="S218"/>
      <x:c r="T218"/>
      <x:c r="U218"/>
    </x:row>
    <x:row r="219" ht="20" customHeight="1">
      <x:c r="A219" s="180" t="str">
        <x:v>　　　• 비정상적인 정렬 파라미터 요청 시 기본값(Default) 폴백 및 검증 로직 적용</x:v>
      </x:c>
      <x:c r="B219" s="185" t="n">
        <x:f>'항목별 평가'!B234</x:f>
        <x:v>2</x:v>
      </x:c>
      <x:c r="C219" s="182" t="n">
        <x:f>IFERROR(B219/B$217,0)</x:f>
        <x:v>0.2857142857142857</x:v>
      </x:c>
      <x:c r="D219" s="182" t="n">
        <x:f>C219*D$217</x:f>
        <x:v>0.0015584415584415584</x:v>
      </x:c>
      <x:c r="R219"/>
      <x:c r="S219"/>
      <x:c r="T219"/>
      <x:c r="U219"/>
    </x:row>
    <x:row r="220" ht="20" customHeight="1">
      <x:c r="A220" s="174" t="str">
        <x:v>　　　• 페이징 시 데이터 중복/누락 방지를 위한 보조 정렬 조건(상품 PK) 추가</x:v>
      </x:c>
      <x:c r="B220" s="183" t="n">
        <x:f>'항목별 평가'!B235</x:f>
        <x:v>2</x:v>
      </x:c>
      <x:c r="C220" s="176" t="n">
        <x:f>IFERROR(B220/B$217,0)</x:f>
        <x:v>0.2857142857142857</x:v>
      </x:c>
      <x:c r="D220" s="176" t="n">
        <x:f>C220*D$217</x:f>
        <x:v>0.0015584415584415584</x:v>
      </x:c>
      <x:c r="R220"/>
      <x:c r="S220"/>
      <x:c r="T220"/>
      <x:c r="U220"/>
    </x:row>
    <x:row r="221" ht="20" customHeight="1">
      <x:c r="A221" s="180" t="str">
        <x:v>　　　• 클라이언트 상태 유지를 위한 응답 메타데이터(Page Info, 정렬 기준) 포함</x:v>
      </x:c>
      <x:c r="B221" s="185" t="n">
        <x:f>'항목별 평가'!B236</x:f>
        <x:v>1</x:v>
      </x:c>
      <x:c r="C221" s="182" t="n">
        <x:f>IFERROR(B221/B$217,0)</x:f>
        <x:v>0.14285714285714285</x:v>
      </x:c>
      <x:c r="D221" s="182" t="n">
        <x:f>C221*D$217</x:f>
        <x:v>0.0007792207792207792</x:v>
      </x:c>
      <x:c r="R221"/>
      <x:c r="S221"/>
      <x:c r="T221"/>
      <x:c r="U221"/>
    </x:row>
    <x:row r="222" ht="22" customHeight="1">
      <x:c r="A222" s="170" t="str">
        <x:v>　　FR-CAT-03 상품 상세</x:v>
      </x:c>
      <x:c r="B222" s="171" t="n">
        <x:f>SUM(B223:B225)</x:f>
        <x:v>7</x:v>
      </x:c>
      <x:c r="C222" s="172" t="n">
        <x:f>SUM(C223:C225)</x:f>
        <x:v>0.9999999999999999</x:v>
      </x:c>
      <x:c r="D222" s="173" t="n">
        <x:f>D210*L54</x:f>
        <x:v>0.01090909090909091</x:v>
      </x:c>
      <x:c r="R222"/>
      <x:c r="S222"/>
      <x:c r="T222"/>
      <x:c r="U222"/>
    </x:row>
    <x:row r="223" ht="20" customHeight="1">
      <x:c r="A223" s="174" t="str">
        <x:v>　　　• 식별자(ID) 기반 상품 상세 정보(메타데이터, 판매 상태 등) 단건 조회 API 구현</x:v>
      </x:c>
      <x:c r="B223" s="183" t="n">
        <x:f>'항목별 평가'!B238</x:f>
        <x:v>2</x:v>
      </x:c>
      <x:c r="C223" s="176" t="n">
        <x:f>IFERROR(B223/B$222,0)</x:f>
        <x:v>0.2857142857142857</x:v>
      </x:c>
      <x:c r="D223" s="176" t="n">
        <x:f>C223*D$222</x:f>
        <x:v>0.003116883116883117</x:v>
      </x:c>
      <x:c r="R223"/>
      <x:c r="S223"/>
      <x:c r="T223"/>
      <x:c r="U223"/>
    </x:row>
    <x:row r="224" ht="20" customHeight="1">
      <x:c r="A224" s="180" t="str">
        <x:v>　　　• 상품 옵션(색상/사이즈) 및 옵션별 실측 데이터를 하나의 응답 DTO로 계층화하여 조립</x:v>
      </x:c>
      <x:c r="B224" s="185" t="n">
        <x:f>'항목별 평가'!B239</x:f>
        <x:v>3</x:v>
      </x:c>
      <x:c r="C224" s="182" t="n">
        <x:f>IFERROR(B224/B$222,0)</x:f>
        <x:v>0.42857142857142855</x:v>
      </x:c>
      <x:c r="D224" s="182" t="n">
        <x:f>C224*D$222</x:f>
        <x:v>0.004675324675324675</x:v>
      </x:c>
      <x:c r="R224"/>
      <x:c r="S224"/>
      <x:c r="T224"/>
      <x:c r="U224"/>
    </x:row>
    <x:row r="225" ht="20" customHeight="1">
      <x:c r="A225" s="174" t="str">
        <x:v>　　　• 카테고리별 특성에 맞춘 무효 속성 명시적 Null 처리 및 임의 값 할당 방지</x:v>
      </x:c>
      <x:c r="B225" s="183" t="n">
        <x:f>'항목별 평가'!B240</x:f>
        <x:v>2</x:v>
      </x:c>
      <x:c r="C225" s="176" t="n">
        <x:f>IFERROR(B225/B$222,0)</x:f>
        <x:v>0.2857142857142857</x:v>
      </x:c>
      <x:c r="D225" s="176" t="n">
        <x:f>C225*D$222</x:f>
        <x:v>0.003116883116883117</x:v>
      </x:c>
      <x:c r="R225"/>
      <x:c r="S225"/>
      <x:c r="T225"/>
      <x:c r="U225"/>
    </x:row>
    <x:row r="226" ht="24" customHeight="1">
      <x:c r="A226" s="162" t="str">
        <x:v>　자연어 검색과 개인화 코디 추천(수혁, 경민)</x:v>
      </x:c>
      <x:c r="B226" s="188" t="str">
        <x:v>점수</x:v>
      </x:c>
      <x:c r="C226" s="189" t="str">
        <x:v>비율</x:v>
      </x:c>
      <x:c r="D226" s="165" t="n">
        <x:f>P5*J22</x:f>
        <x:v>0.05454545454545454</x:v>
      </x:c>
      <x:c r="R226"/>
      <x:c r="S226"/>
      <x:c r="T226"/>
      <x:c r="U226"/>
    </x:row>
    <x:row r="227" ht="22" customHeight="1">
      <x:c r="A227" s="170" t="str">
        <x:v>　　FR-REC-01 자연어 조건 해석</x:v>
      </x:c>
      <x:c r="B227" s="171" t="n">
        <x:f>SUM(B228:B232)</x:f>
        <x:v>18</x:v>
      </x:c>
      <x:c r="C227" s="172" t="n">
        <x:f>SUM(C228:C232)</x:f>
        <x:v>0.9999999999999999</x:v>
      </x:c>
      <x:c r="D227" s="173" t="n">
        <x:f>D226*L71</x:f>
        <x:v>0.02727272727272727</x:v>
      </x:c>
      <x:c r="R227"/>
      <x:c r="S227"/>
      <x:c r="T227"/>
      <x:c r="U227"/>
    </x:row>
    <x:row r="228" ht="20" customHeight="1">
      <x:c r="A228" s="180" t="str">
        <x:v>　　　• 자연어 입력 분석용 LLM 연동</x:v>
      </x:c>
      <x:c r="B228" s="185" t="n">
        <x:f>'항목별 평가'!B243</x:f>
        <x:v>3</x:v>
      </x:c>
      <x:c r="C228" s="182" t="n">
        <x:f>IFERROR(B228/B$227,0)</x:f>
        <x:v>0.16666666666666666</x:v>
      </x:c>
      <x:c r="D228" s="182" t="n">
        <x:f>C228*D$227</x:f>
        <x:v>0.004545454545454545</x:v>
      </x:c>
      <x:c r="R228"/>
      <x:c r="S228"/>
      <x:c r="T228"/>
      <x:c r="U228"/>
    </x:row>
    <x:row r="229" ht="20" customHeight="1">
      <x:c r="A229" s="174" t="str">
        <x:v>　　　• 상황·분위기·색상·스타일·계절·예산 조건 파싱</x:v>
      </x:c>
      <x:c r="B229" s="183" t="n">
        <x:f>'항목별 평가'!B244</x:f>
        <x:v>4</x:v>
      </x:c>
      <x:c r="C229" s="176" t="n">
        <x:f>IFERROR(B229/B$227,0)</x:f>
        <x:v>0.2222222222222222</x:v>
      </x:c>
      <x:c r="D229" s="176" t="n">
        <x:f>C229*D$227</x:f>
        <x:v>0.00606060606060606</x:v>
      </x:c>
      <x:c r="R229"/>
      <x:c r="S229"/>
      <x:c r="T229"/>
      <x:c r="U229"/>
    </x:row>
    <x:row r="230" ht="20" customHeight="1">
      <x:c r="A230" s="180" t="str">
        <x:v>　　　• Fashion-CLIP 및 Qdrant 기반 1차 후보 검색 파이프라인 구현</x:v>
      </x:c>
      <x:c r="B230" s="185" t="n">
        <x:f>'항목별 평가'!B245</x:f>
        <x:v>4</x:v>
      </x:c>
      <x:c r="C230" s="182" t="n">
        <x:f>IFERROR(B230/B$227,0)</x:f>
        <x:v>0.2222222222222222</x:v>
      </x:c>
      <x:c r="D230" s="182" t="n">
        <x:f>C230*D$227</x:f>
        <x:v>0.00606060606060606</x:v>
      </x:c>
      <x:c r="R230"/>
      <x:c r="S230"/>
      <x:c r="T230"/>
      <x:c r="U230"/>
    </x:row>
    <x:row r="231" ht="20" customHeight="1">
      <x:c r="A231" s="174" t="str">
        <x:v>　　　• 예산 하드컷 및 Vision LLM 기반 코디 조화도 검수 구현</x:v>
      </x:c>
      <x:c r="B231" s="183" t="n">
        <x:f>'항목별 평가'!B246</x:f>
        <x:v>4</x:v>
      </x:c>
      <x:c r="C231" s="176" t="n">
        <x:f>IFERROR(B231/B$227,0)</x:f>
        <x:v>0.2222222222222222</x:v>
      </x:c>
      <x:c r="D231" s="176" t="n">
        <x:f>C231*D$227</x:f>
        <x:v>0.00606060606060606</x:v>
      </x:c>
      <x:c r="R231"/>
      <x:c r="S231"/>
      <x:c r="T231"/>
      <x:c r="U231"/>
    </x:row>
    <x:row r="232" ht="20" customHeight="1">
      <x:c r="A232" s="180" t="str">
        <x:v>　　　• 추천 결과 및 대화 내용 저장 로직 구현</x:v>
      </x:c>
      <x:c r="B232" s="185" t="n">
        <x:f>'항목별 평가'!B247</x:f>
        <x:v>3</x:v>
      </x:c>
      <x:c r="C232" s="182" t="n">
        <x:f>IFERROR(B232/B$227,0)</x:f>
        <x:v>0.16666666666666666</x:v>
      </x:c>
      <x:c r="D232" s="182" t="n">
        <x:f>C232*D$227</x:f>
        <x:v>0.004545454545454545</x:v>
      </x:c>
      <x:c r="R232"/>
      <x:c r="S232"/>
      <x:c r="T232"/>
      <x:c r="U232"/>
    </x:row>
    <x:row r="233" ht="22" customHeight="1">
      <x:c r="A233" s="170" t="str">
        <x:v>　　FR-REC-02 상품 후보와 사이즈 사전 필터</x:v>
      </x:c>
      <x:c r="B233" s="171" t="n">
        <x:f>SUM(B234:B237)</x:f>
        <x:v>15</x:v>
      </x:c>
      <x:c r="C233" s="172" t="n">
        <x:f>SUM(C234:C237)</x:f>
        <x:v>1</x:v>
      </x:c>
      <x:c r="D233" s="173" t="n">
        <x:f>D226*L72</x:f>
        <x:v>0.02727272727272727</x:v>
      </x:c>
      <x:c r="R233"/>
      <x:c r="S233"/>
      <x:c r="T233"/>
      <x:c r="U233"/>
    </x:row>
    <x:row r="234" ht="20" customHeight="1">
      <x:c r="A234" s="174" t="str">
        <x:v>　　　• 무신사 기준 상·하의·신발·모자 실측 스펙 정규화 및 조회 구현</x:v>
      </x:c>
      <x:c r="B234" s="183" t="n">
        <x:f>'항목별 평가'!B249</x:f>
        <x:v>4</x:v>
      </x:c>
      <x:c r="C234" s="176" t="n">
        <x:f>IFERROR(B234/B$233,0)</x:f>
        <x:v>0.26666666666666666</x:v>
      </x:c>
      <x:c r="D234" s="176" t="n">
        <x:f>C234*D$233</x:f>
        <x:v>0.007272727272727272</x:v>
      </x:c>
      <x:c r="R234"/>
      <x:c r="S234"/>
      <x:c r="T234"/>
      <x:c r="U234"/>
    </x:row>
    <x:row r="235" ht="20" customHeight="1">
      <x:c r="A235" s="180" t="str">
        <x:v>　　　• 유저 선호 실측/구매이력/유사체형 Fallback 체인 라우팅 구현</x:v>
      </x:c>
      <x:c r="B235" s="185" t="n">
        <x:f>'항목별 평가'!B250</x:f>
        <x:v>4</x:v>
      </x:c>
      <x:c r="C235" s="182" t="n">
        <x:f>IFERROR(B235/B$233,0)</x:f>
        <x:v>0.26666666666666666</x:v>
      </x:c>
      <x:c r="D235" s="182" t="n">
        <x:f>C235*D$233</x:f>
        <x:v>0.007272727272727272</x:v>
      </x:c>
      <x:c r="R235"/>
      <x:c r="S235"/>
      <x:c r="T235"/>
      <x:c r="U235"/>
    </x:row>
    <x:row r="236" ht="20" customHeight="1">
      <x:c r="A236" s="174" t="str">
        <x:v>　　　• 수학적 오차율 및 적합도 점수 산출 엔진 구현</x:v>
      </x:c>
      <x:c r="B236" s="183" t="n">
        <x:f>'항목별 평가'!B251</x:f>
        <x:v>4</x:v>
      </x:c>
      <x:c r="C236" s="176" t="n">
        <x:f>IFERROR(B236/B$233,0)</x:f>
        <x:v>0.26666666666666666</x:v>
      </x:c>
      <x:c r="D236" s="176" t="n">
        <x:f>C236*D$233</x:f>
        <x:v>0.007272727272727272</x:v>
      </x:c>
      <x:c r="R236"/>
      <x:c r="S236"/>
      <x:c r="T236"/>
      <x:c r="U236"/>
    </x:row>
    <x:row r="237" ht="20" customHeight="1">
      <x:c r="A237" s="180" t="str">
        <x:v>　　　• 데이터 부족 시 사이즈 추천을 건너뛰거나 예외 처리하는 방어 로직 구현</x:v>
      </x:c>
      <x:c r="B237" s="185" t="n">
        <x:f>'항목별 평가'!B252</x:f>
        <x:v>3</x:v>
      </x:c>
      <x:c r="C237" s="182" t="n">
        <x:f>IFERROR(B237/B$233,0)</x:f>
        <x:v>0.2</x:v>
      </x:c>
      <x:c r="D237" s="182" t="n">
        <x:f>C237*D$233</x:f>
        <x:v>0.005454545454545455</x:v>
      </x:c>
      <x:c r="R237"/>
      <x:c r="S237"/>
      <x:c r="T237"/>
      <x:c r="U237"/>
    </x:row>
    <x:row r="238" ht="24" customHeight="1">
      <x:c r="A238" s="162" t="str">
        <x:v>　찜 장바구니 주문과 결제 (승원, 주희)</x:v>
      </x:c>
      <x:c r="B238" s="188" t="str">
        <x:v>점수</x:v>
      </x:c>
      <x:c r="C238" s="189" t="str">
        <x:v>비율</x:v>
      </x:c>
      <x:c r="D238" s="165" t="n">
        <x:f>P5*J26</x:f>
        <x:v>0.0409090909090909</x:v>
      </x:c>
      <x:c r="R238"/>
      <x:c r="S238"/>
      <x:c r="T238"/>
      <x:c r="U238"/>
    </x:row>
    <x:row r="239" ht="22" customHeight="1">
      <x:c r="A239" s="170" t="str">
        <x:v>　　FR-WISH-01 관심상품</x:v>
      </x:c>
      <x:c r="B239" s="171" t="n">
        <x:f>SUM(B240:B242)</x:f>
        <x:v>8</x:v>
      </x:c>
      <x:c r="C239" s="172" t="n">
        <x:f>SUM(C240:C242)</x:f>
        <x:v>1</x:v>
      </x:c>
      <x:c r="D239" s="173" t="n">
        <x:f>D238*L41</x:f>
        <x:v>0.006293706293706293</x:v>
      </x:c>
      <x:c r="R239"/>
      <x:c r="S239"/>
      <x:c r="T239"/>
      <x:c r="U239"/>
    </x:row>
    <x:row r="240" ht="20" customHeight="1">
      <x:c r="A240" s="174" t="str">
        <x:v>　　　• 사용자별 찜 목록(일반 상품 및 AI 코디) 조회 API 구현</x:v>
      </x:c>
      <x:c r="B240" s="183" t="n">
        <x:f>'항목별 평가'!B255</x:f>
        <x:v>3</x:v>
      </x:c>
      <x:c r="C240" s="176" t="n">
        <x:f>IFERROR(B240/B$239,0)</x:f>
        <x:v>0.375</x:v>
      </x:c>
      <x:c r="D240" s="176" t="n">
        <x:f>C240*D$239</x:f>
        <x:v>0.00236013986013986</x:v>
      </x:c>
      <x:c r="R240"/>
      <x:c r="S240"/>
      <x:c r="T240"/>
      <x:c r="U240"/>
    </x:row>
    <x:row r="241" ht="20" customHeight="1">
      <x:c r="A241" s="180" t="str">
        <x:v>　　　• 찜 추가 및 해제 API 구현</x:v>
      </x:c>
      <x:c r="B241" s="185" t="n">
        <x:f>'항목별 평가'!B256</x:f>
        <x:v>2</x:v>
      </x:c>
      <x:c r="C241" s="182" t="n">
        <x:f>IFERROR(B241/B$239,0)</x:f>
        <x:v>0.25</x:v>
      </x:c>
      <x:c r="D241" s="182" t="n">
        <x:f>C241*D$239</x:f>
        <x:v>0.0015734265734265733</x:v>
      </x:c>
      <x:c r="R241"/>
      <x:c r="S241"/>
      <x:c r="T241"/>
      <x:c r="U241"/>
    </x:row>
    <x:row r="242" ht="20" customHeight="1">
      <x:c r="A242" s="174" t="str">
        <x:v>　　　• 동일 상품 중복 저장 방지 및 반복 요청 방어 로직 구현</x:v>
      </x:c>
      <x:c r="B242" s="183" t="n">
        <x:f>'항목별 평가'!B257</x:f>
        <x:v>3</x:v>
      </x:c>
      <x:c r="C242" s="176" t="n">
        <x:f>IFERROR(B242/B$239,0)</x:f>
        <x:v>0.375</x:v>
      </x:c>
      <x:c r="D242" s="176" t="n">
        <x:f>C242*D$239</x:f>
        <x:v>0.00236013986013986</x:v>
      </x:c>
      <x:c r="R242"/>
      <x:c r="S242"/>
      <x:c r="T242"/>
      <x:c r="U242"/>
    </x:row>
    <x:row r="243" ht="22" customHeight="1">
      <x:c r="A243" s="170" t="str">
        <x:v>　　FR-CART-01 장바구니 추가</x:v>
      </x:c>
      <x:c r="B243" s="171" t="n">
        <x:f>SUM(B244:B247)</x:f>
        <x:v>9</x:v>
      </x:c>
      <x:c r="C243" s="172" t="n">
        <x:f>SUM(C244:C247)</x:f>
        <x:v>1</x:v>
      </x:c>
      <x:c r="D243" s="173" t="n">
        <x:f>D238*L42</x:f>
        <x:v>0.006293706293706293</x:v>
      </x:c>
      <x:c r="R243"/>
      <x:c r="S243"/>
      <x:c r="T243"/>
      <x:c r="U243"/>
    </x:row>
    <x:row r="244" ht="20" customHeight="1">
      <x:c r="A244" s="180" t="str">
        <x:v>　　　• 상품 옵션 유효성 조회 및 검증 구현</x:v>
      </x:c>
      <x:c r="B244" s="185" t="n">
        <x:f>'항목별 평가'!B259</x:f>
        <x:v>3</x:v>
      </x:c>
      <x:c r="C244" s="182" t="n">
        <x:f>IFERROR(B244/B$243,0)</x:f>
        <x:v>0.3333333333333333</x:v>
      </x:c>
      <x:c r="D244" s="182" t="n">
        <x:f>C244*D$243</x:f>
        <x:v>0.0020979020979020975</x:v>
      </x:c>
      <x:c r="R244"/>
      <x:c r="S244"/>
      <x:c r="T244"/>
      <x:c r="U244"/>
    </x:row>
    <x:row r="245" ht="20" customHeight="1">
      <x:c r="A245" s="174" t="str">
        <x:v>　　　• 수량 허용 범위 검증 구현</x:v>
      </x:c>
      <x:c r="B245" s="183" t="n">
        <x:f>'항목별 평가'!B260</x:f>
        <x:v>1</x:v>
      </x:c>
      <x:c r="C245" s="176" t="n">
        <x:f>IFERROR(B245/B$243,0)</x:f>
        <x:v>0.1111111111111111</x:v>
      </x:c>
      <x:c r="D245" s="176" t="n">
        <x:f>C245*D$243</x:f>
        <x:v>0.0006993006993006992</x:v>
      </x:c>
      <x:c r="R245"/>
      <x:c r="S245"/>
      <x:c r="T245"/>
      <x:c r="U245"/>
    </x:row>
    <x:row r="246" ht="20" customHeight="1">
      <x:c r="A246" s="180" t="str">
        <x:v>　　　• 장바구니 추가 API 구현</x:v>
      </x:c>
      <x:c r="B246" s="185" t="n">
        <x:f>'항목별 평가'!B261</x:f>
        <x:v>2</x:v>
      </x:c>
      <x:c r="C246" s="182" t="n">
        <x:f>IFERROR(B246/B$243,0)</x:f>
        <x:v>0.2222222222222222</x:v>
      </x:c>
      <x:c r="D246" s="182" t="n">
        <x:f>C246*D$243</x:f>
        <x:v>0.0013986013986013984</x:v>
      </x:c>
      <x:c r="R246"/>
      <x:c r="S246"/>
      <x:c r="T246"/>
      <x:c r="U246"/>
    </x:row>
    <x:row r="247" ht="20" customHeight="1">
      <x:c r="A247" s="174" t="str">
        <x:v>　　　• 동일 상품/옵션을 다시 담을 경우 별도 추가가 아닌 수량만 갱신하는 로직 구현</x:v>
      </x:c>
      <x:c r="B247" s="183" t="n">
        <x:f>'항목별 평가'!B262</x:f>
        <x:v>3</x:v>
      </x:c>
      <x:c r="C247" s="176" t="n">
        <x:f>IFERROR(B247/B$243,0)</x:f>
        <x:v>0.3333333333333333</x:v>
      </x:c>
      <x:c r="D247" s="176" t="n">
        <x:f>C247*D$243</x:f>
        <x:v>0.0020979020979020975</x:v>
      </x:c>
      <x:c r="R247"/>
      <x:c r="S247"/>
      <x:c r="T247"/>
      <x:c r="U247"/>
    </x:row>
    <x:row r="248" ht="22" customHeight="1">
      <x:c r="A248" s="170" t="str">
        <x:v>　　FR-CART-02 장바구니 수정과 삭제</x:v>
      </x:c>
      <x:c r="B248" s="171" t="n">
        <x:f>SUM(B249:B253)</x:f>
        <x:v>11</x:v>
      </x:c>
      <x:c r="C248" s="172" t="n">
        <x:f>SUM(C249:C253)</x:f>
        <x:v>1</x:v>
      </x:c>
      <x:c r="D248" s="173" t="n">
        <x:f>D238*L43</x:f>
        <x:v>0.006293706293706293</x:v>
      </x:c>
      <x:c r="R248"/>
      <x:c r="S248"/>
      <x:c r="T248"/>
      <x:c r="U248"/>
    </x:row>
    <x:row r="249" ht="20" customHeight="1">
      <x:c r="A249" s="180" t="str">
        <x:v>　　　• 장바구니 항목 조회 API 구현</x:v>
      </x:c>
      <x:c r="B249" s="185" t="n">
        <x:f>'항목별 평가'!B264</x:f>
        <x:v>2</x:v>
      </x:c>
      <x:c r="C249" s="182" t="n">
        <x:f>IFERROR(B249/B$248,0)</x:f>
        <x:v>0.18181818181818182</x:v>
      </x:c>
      <x:c r="D249" s="182" t="n">
        <x:f>C249*D$248</x:f>
        <x:v>0.0011443102352193262</x:v>
      </x:c>
      <x:c r="R249"/>
      <x:c r="S249"/>
      <x:c r="T249"/>
      <x:c r="U249"/>
    </x:row>
    <x:row r="250" ht="20" customHeight="1">
      <x:c r="A250" s="174" t="str">
        <x:v>　　　• 항목 옵션·수량 수정 API 구현</x:v>
      </x:c>
      <x:c r="B250" s="183" t="n">
        <x:f>'항목별 평가'!B265</x:f>
        <x:v>3</x:v>
      </x:c>
      <x:c r="C250" s="176" t="n">
        <x:f>IFERROR(B250/B$248,0)</x:f>
        <x:v>0.2727272727272727</x:v>
      </x:c>
      <x:c r="D250" s="176" t="n">
        <x:f>C250*D$248</x:f>
        <x:v>0.001716465352828989</x:v>
      </x:c>
      <x:c r="R250"/>
      <x:c r="S250"/>
      <x:c r="T250"/>
      <x:c r="U250"/>
    </x:row>
    <x:row r="251" ht="20" customHeight="1">
      <x:c r="A251" s="180" t="str">
        <x:v>　　　• 항목 삭제 API 구현</x:v>
      </x:c>
      <x:c r="B251" s="185" t="n">
        <x:f>'항목별 평가'!B266</x:f>
        <x:v>2</x:v>
      </x:c>
      <x:c r="C251" s="182" t="n">
        <x:f>IFERROR(B251/B$248,0)</x:f>
        <x:v>0.18181818181818182</x:v>
      </x:c>
      <x:c r="D251" s="182" t="n">
        <x:f>C251*D$248</x:f>
        <x:v>0.0011443102352193262</x:v>
      </x:c>
      <x:c r="R251"/>
      <x:c r="S251"/>
      <x:c r="T251"/>
      <x:c r="U251"/>
    </x:row>
    <x:row r="252" ht="20" customHeight="1">
      <x:c r="A252" s="174" t="str">
        <x:v>　　　• 수정 후 상품 금액 및 합계 계산</x:v>
      </x:c>
      <x:c r="B252" s="183" t="n">
        <x:f>'항목별 평가'!B267</x:f>
        <x:v>2</x:v>
      </x:c>
      <x:c r="C252" s="176" t="n">
        <x:f>IFERROR(B252/B$248,0)</x:f>
        <x:v>0.18181818181818182</x:v>
      </x:c>
      <x:c r="D252" s="176" t="n">
        <x:f>C252*D$248</x:f>
        <x:v>0.0011443102352193262</x:v>
      </x:c>
      <x:c r="R252"/>
      <x:c r="S252"/>
      <x:c r="T252"/>
      <x:c r="U252"/>
    </x:row>
    <x:row r="253" ht="20" customHeight="1">
      <x:c r="A253" s="180" t="str">
        <x:v>　　　• 사용자별 장바구니 소유권 검사 구현</x:v>
      </x:c>
      <x:c r="B253" s="185" t="n">
        <x:f>'항목별 평가'!B268</x:f>
        <x:v>2</x:v>
      </x:c>
      <x:c r="C253" s="182" t="n">
        <x:f>IFERROR(B253/B$248,0)</x:f>
        <x:v>0.18181818181818182</x:v>
      </x:c>
      <x:c r="D253" s="182" t="n">
        <x:f>C253*D$248</x:f>
        <x:v>0.0011443102352193262</x:v>
      </x:c>
      <x:c r="R253"/>
      <x:c r="S253"/>
      <x:c r="T253"/>
      <x:c r="U253"/>
    </x:row>
    <x:row r="254" ht="22" customHeight="1">
      <x:c r="A254" s="170" t="str">
        <x:v>　　FR-CART-03 찜 월드컵</x:v>
      </x:c>
      <x:c r="B254" s="171" t="n">
        <x:f>SUM(B255:B257)</x:f>
        <x:v>9</x:v>
      </x:c>
      <x:c r="C254" s="172" t="n">
        <x:f>SUM(C255:C257)</x:f>
        <x:v>1</x:v>
      </x:c>
      <x:c r="D254" s="173" t="n">
        <x:f>D238*L44</x:f>
        <x:v>0.009440559440559439</x:v>
      </x:c>
      <x:c r="R254"/>
      <x:c r="S254"/>
      <x:c r="T254"/>
      <x:c r="U254"/>
    </x:row>
    <x:row r="255" ht="20" customHeight="1">
      <x:c r="A255" s="174" t="str">
        <x:v>　　　• 내 찜 목록을 기반으로 한 개인화 월드컵 대진표 후보 반환 API 구현</x:v>
      </x:c>
      <x:c r="B255" s="183" t="n">
        <x:f>'항목별 평가'!B270</x:f>
        <x:v>3</x:v>
      </x:c>
      <x:c r="C255" s="176" t="n">
        <x:f>IFERROR(B255/B$254,0)</x:f>
        <x:v>0.3333333333333333</x:v>
      </x:c>
      <x:c r="D255" s="176" t="n">
        <x:f>C255*D$254</x:f>
        <x:v>0.003146853146853146</x:v>
      </x:c>
      <x:c r="R255"/>
      <x:c r="S255"/>
      <x:c r="T255"/>
      <x:c r="U255"/>
    </x:row>
    <x:row r="256" ht="20" customHeight="1">
      <x:c r="A256" s="180" t="str">
        <x:v>　　　• 진행 단계별 비교 결과 및 최종 우승 상품 저장 로직 구현</x:v>
      </x:c>
      <x:c r="B256" s="185" t="n">
        <x:f>'항목별 평가'!B271</x:f>
        <x:v>3</x:v>
      </x:c>
      <x:c r="C256" s="182" t="n">
        <x:f>IFERROR(B256/B$254,0)</x:f>
        <x:v>0.3333333333333333</x:v>
      </x:c>
      <x:c r="D256" s="182" t="n">
        <x:f>C256*D$254</x:f>
        <x:v>0.003146853146853146</x:v>
      </x:c>
      <x:c r="R256"/>
      <x:c r="S256"/>
      <x:c r="T256"/>
      <x:c r="U256"/>
    </x:row>
    <x:row r="257" ht="20" customHeight="1">
      <x:c r="A257" s="174" t="str">
        <x:v>　　　• 기존 월드컵 우승 기록 보존 및 최신 결과 갱신 처리</x:v>
      </x:c>
      <x:c r="B257" s="183" t="n">
        <x:f>'항목별 평가'!B272</x:f>
        <x:v>3</x:v>
      </x:c>
      <x:c r="C257" s="176" t="n">
        <x:f>IFERROR(B257/B$254,0)</x:f>
        <x:v>0.3333333333333333</x:v>
      </x:c>
      <x:c r="D257" s="176" t="n">
        <x:f>C257*D$254</x:f>
        <x:v>0.003146853146853146</x:v>
      </x:c>
      <x:c r="R257"/>
      <x:c r="S257"/>
      <x:c r="T257"/>
      <x:c r="U257"/>
    </x:row>
    <x:row r="258" ht="22" customHeight="1">
      <x:c r="A258" s="170" t="str">
        <x:v>　　FR-ORD-01 주문 생성</x:v>
      </x:c>
      <x:c r="B258" s="171" t="n">
        <x:f>SUM(B259:B261)</x:f>
        <x:v>9</x:v>
      </x:c>
      <x:c r="C258" s="172" t="n">
        <x:f>SUM(C259:C261)</x:f>
        <x:v>1</x:v>
      </x:c>
      <x:c r="D258" s="173" t="n">
        <x:f>D238*L45</x:f>
        <x:v>0.006293706293706293</x:v>
      </x:c>
      <x:c r="R258"/>
      <x:c r="S258"/>
      <x:c r="T258"/>
      <x:c r="U258"/>
    </x:row>
    <x:row r="259" ht="20" customHeight="1">
      <x:c r="A259" s="180" t="str">
        <x:v>　　　• 장바구니 항목 유효성 검증 및 구매자/배송지 정보 저장 처리</x:v>
      </x:c>
      <x:c r="B259" s="185" t="n">
        <x:f>'항목별 평가'!B274</x:f>
        <x:v>3</x:v>
      </x:c>
      <x:c r="C259" s="182" t="n">
        <x:f>IFERROR(B259/B$258,0)</x:f>
        <x:v>0.3333333333333333</x:v>
      </x:c>
      <x:c r="D259" s="182" t="n">
        <x:f>C259*D$258</x:f>
        <x:v>0.0020979020979020975</x:v>
      </x:c>
      <x:c r="R259"/>
      <x:c r="S259"/>
      <x:c r="T259"/>
      <x:c r="U259"/>
    </x:row>
    <x:row r="260" ht="20" customHeight="1">
      <x:c r="A260" s="174" t="str">
        <x:v>　　　• 가격 변동에 대비하여 주문 시점의 상품 정보(옵션, 수량, 가격)를 그대로 박제하는 스냅샷 저장 로직 구현</x:v>
      </x:c>
      <x:c r="B260" s="183" t="n">
        <x:f>'항목별 평가'!B275</x:f>
        <x:v>3</x:v>
      </x:c>
      <x:c r="C260" s="176" t="n">
        <x:f>IFERROR(B260/B$258,0)</x:f>
        <x:v>0.3333333333333333</x:v>
      </x:c>
      <x:c r="D260" s="176" t="n">
        <x:f>C260*D$258</x:f>
        <x:v>0.0020979020979020975</x:v>
      </x:c>
      <x:c r="R260"/>
      <x:c r="S260"/>
      <x:c r="T260"/>
      <x:c r="U260"/>
    </x:row>
    <x:row r="261" ht="20" customHeight="1">
      <x:c r="A261" s="180" t="str">
        <x:v>　　　• 결제 대기 상태의 주문(Order) 데이터 생성 API 구현</x:v>
      </x:c>
      <x:c r="B261" s="185" t="n">
        <x:f>'항목별 평가'!B276</x:f>
        <x:v>3</x:v>
      </x:c>
      <x:c r="C261" s="182" t="n">
        <x:f>IFERROR(B261/B$258,0)</x:f>
        <x:v>0.3333333333333333</x:v>
      </x:c>
      <x:c r="D261" s="182" t="n">
        <x:f>C261*D$258</x:f>
        <x:v>0.0020979020979020975</x:v>
      </x:c>
      <x:c r="R261"/>
      <x:c r="S261"/>
      <x:c r="T261"/>
      <x:c r="U261"/>
    </x:row>
    <x:row r="262" ht="22" customHeight="1">
      <x:c r="A262" s="170" t="str">
        <x:v>　　FR-ORD-02 구매 이력 설문 (지현)</x:v>
      </x:c>
      <x:c r="B262" s="171" t="n">
        <x:f>SUM(B263:B266)</x:f>
        <x:v>10</x:v>
      </x:c>
      <x:c r="C262" s="172" t="n">
        <x:f>SUM(C263:C266)</x:f>
        <x:v>1</x:v>
      </x:c>
      <x:c r="D262" s="173" t="n">
        <x:f>D238*L46</x:f>
        <x:v>0.006293706293706293</x:v>
      </x:c>
      <x:c r="R262"/>
      <x:c r="S262"/>
      <x:c r="T262"/>
      <x:c r="U262"/>
    </x:row>
    <x:row r="263" ht="20" customHeight="1">
      <x:c r="A263" s="174" t="str">
        <x:v>　　　• 사이즈 설문 저장·수정 API 구현 (SMALL/FIT/BIG)</x:v>
      </x:c>
      <x:c r="B263" s="183" t="n">
        <x:f>'항목별 평가'!B278</x:f>
        <x:v>2</x:v>
      </x:c>
      <x:c r="C263" s="176" t="n">
        <x:f>IFERROR(B263/B$262,0)</x:f>
        <x:v>0.2</x:v>
      </x:c>
      <x:c r="D263" s="176" t="n">
        <x:f>C263*D$262</x:f>
        <x:v>0.0012587412587412587</x:v>
      </x:c>
      <x:c r="R263"/>
      <x:c r="S263"/>
      <x:c r="T263"/>
      <x:c r="U263"/>
    </x:row>
    <x:row r="264" ht="20" customHeight="1">
      <x:c r="A264" s="180" t="str">
        <x:v>　　　• 주문 서비스 API 호출로 본인 주문 항목 여부 및 설문 가능 상태 검증</x:v>
      </x:c>
      <x:c r="B264" s="185" t="n">
        <x:f>'항목별 평가'!B279</x:f>
        <x:v>3</x:v>
      </x:c>
      <x:c r="C264" s="182" t="n">
        <x:f>IFERROR(B264/B$262,0)</x:f>
        <x:v>0.3</x:v>
      </x:c>
      <x:c r="D264" s="182" t="n">
        <x:f>C264*D$262</x:f>
        <x:v>0.001888111888111888</x:v>
      </x:c>
      <x:c r="R264"/>
      <x:c r="S264"/>
      <x:c r="T264"/>
      <x:c r="U264"/>
    </x:row>
    <x:row r="265" ht="20" customHeight="1">
      <x:c r="A265" s="174" t="str">
        <x:v>　　　• 동일 주문 항목 중복 설문 방지 (UNIQUE(user_id, order_item_id))</x:v>
      </x:c>
      <x:c r="B265" s="183" t="n">
        <x:f>'항목별 평가'!B280</x:f>
        <x:v>2</x:v>
      </x:c>
      <x:c r="C265" s="176" t="n">
        <x:f>IFERROR(B265/B$262,0)</x:f>
        <x:v>0.2</x:v>
      </x:c>
      <x:c r="D265" s="176" t="n">
        <x:f>C265*D$262</x:f>
        <x:v>0.0012587412587412587</x:v>
      </x:c>
      <x:c r="R265"/>
      <x:c r="S265"/>
      <x:c r="T265"/>
      <x:c r="U265"/>
    </x:row>
    <x:row r="266" ht="20" customHeight="1">
      <x:c r="A266" s="180" t="str">
        <x:v>　　　• 설문 저장 시 추천 서비스로 선호 실측 갱신 요청 전달 (이벤트 또는 API, 경민님과 합의)</x:v>
      </x:c>
      <x:c r="B266" s="185" t="n">
        <x:f>'항목별 평가'!B281</x:f>
        <x:v>3</x:v>
      </x:c>
      <x:c r="C266" s="182" t="n">
        <x:f>IFERROR(B266/B$262,0)</x:f>
        <x:v>0.3</x:v>
      </x:c>
      <x:c r="D266" s="182" t="n">
        <x:f>C266*D$262</x:f>
        <x:v>0.001888111888111888</x:v>
      </x:c>
      <x:c r="R266"/>
      <x:c r="S266"/>
      <x:c r="T266"/>
      <x:c r="U266"/>
    </x:row>
    <x:row r="267" ht="24" customHeight="1">
      <x:c r="A267" s="162" t="str">
        <x:v>　커뮤니티 게시글 댓글과 투표 (수혁, 지현)</x:v>
      </x:c>
      <x:c r="B267" s="188" t="str">
        <x:v>점수</x:v>
      </x:c>
      <x:c r="C267" s="189" t="str">
        <x:v>비율</x:v>
      </x:c>
      <x:c r="D267" s="165" t="n">
        <x:f>P5*J23</x:f>
        <x:v>0.0409090909090909</x:v>
      </x:c>
      <x:c r="R267"/>
      <x:c r="S267"/>
      <x:c r="T267"/>
      <x:c r="U267"/>
    </x:row>
    <x:row r="268" ht="22" customHeight="1">
      <x:c r="A268" s="170" t="str">
        <x:v>　　FR-COM-01 코디 고민 게시글</x:v>
      </x:c>
      <x:c r="B268" s="171" t="n">
        <x:f>SUM(B269:B272)</x:f>
        <x:v>11</x:v>
      </x:c>
      <x:c r="C268" s="172" t="n">
        <x:f>SUM(C269:C272)</x:f>
        <x:v>1</x:v>
      </x:c>
      <x:c r="D268" s="173" t="n">
        <x:f>D267*L60</x:f>
        <x:v>0.005844155844155843</x:v>
      </x:c>
      <x:c r="R268"/>
      <x:c r="S268"/>
      <x:c r="T268"/>
      <x:c r="U268"/>
    </x:row>
    <x:row r="269" ht="20" customHeight="1">
      <x:c r="A269" s="174" t="str">
        <x:v>　　　• 게시글 생성·수정·삭제 API 구현 (작성자 권한 검증)</x:v>
      </x:c>
      <x:c r="B269" s="183" t="n">
        <x:f>'항목별 평가'!B284</x:f>
        <x:v>3</x:v>
      </x:c>
      <x:c r="C269" s="176" t="n">
        <x:f>IFERROR(B269/B$268,0)</x:f>
        <x:v>0.2727272727272727</x:v>
      </x:c>
      <x:c r="D269" s="176" t="n">
        <x:f>C269*D$268</x:f>
        <x:v>0.001593860684769775</x:v>
      </x:c>
      <x:c r="R269"/>
      <x:c r="S269"/>
      <x:c r="T269"/>
      <x:c r="U269"/>
    </x:row>
    <x:row r="270" ht="20" customHeight="1">
      <x:c r="A270" s="180" t="str">
        <x:v>　　　• 게시글 상세 조회 API 구현 (조회수 증가)</x:v>
      </x:c>
      <x:c r="B270" s="185" t="n">
        <x:f>'항목별 평가'!B285</x:f>
        <x:v>2</x:v>
      </x:c>
      <x:c r="C270" s="182" t="n">
        <x:f>IFERROR(B270/B$268,0)</x:f>
        <x:v>0.18181818181818182</x:v>
      </x:c>
      <x:c r="D270" s="182" t="n">
        <x:f>C270*D$268</x:f>
        <x:v>0.0010625737898465168</x:v>
      </x:c>
      <x:c r="R270"/>
      <x:c r="S270"/>
      <x:c r="T270"/>
      <x:c r="U270"/>
    </x:row>
    <x:row r="271" ht="20" customHeight="1">
      <x:c r="A271" s="174" t="str">
        <x:v>　　　• 이미지 업로드 및 S3 저장 구현 (방식 합의 후)</x:v>
      </x:c>
      <x:c r="B271" s="183" t="n">
        <x:f>'항목별 평가'!B286</x:f>
        <x:v>3</x:v>
      </x:c>
      <x:c r="C271" s="176" t="n">
        <x:f>IFERROR(B271/B$268,0)</x:f>
        <x:v>0.2727272727272727</x:v>
      </x:c>
      <x:c r="D271" s="176" t="n">
        <x:f>C271*D$268</x:f>
        <x:v>0.001593860684769775</x:v>
      </x:c>
      <x:c r="R271"/>
      <x:c r="S271"/>
      <x:c r="T271"/>
      <x:c r="U271"/>
    </x:row>
    <x:row r="272" ht="20" customHeight="1">
      <x:c r="A272" s="180" t="str">
        <x:v>　　　• 상품 참조 저장 구현 (방식 합의 후)</x:v>
      </x:c>
      <x:c r="B272" s="185" t="n">
        <x:f>'항목별 평가'!B287</x:f>
        <x:v>3</x:v>
      </x:c>
      <x:c r="C272" s="182" t="n">
        <x:f>IFERROR(B272/B$268,0)</x:f>
        <x:v>0.2727272727272727</x:v>
      </x:c>
      <x:c r="D272" s="182" t="n">
        <x:f>C272*D$268</x:f>
        <x:v>0.001593860684769775</x:v>
      </x:c>
      <x:c r="R272"/>
      <x:c r="S272"/>
      <x:c r="T272"/>
      <x:c r="U272"/>
    </x:row>
    <x:row r="273" ht="22" customHeight="1">
      <x:c r="A273" s="170" t="str">
        <x:v>　　FR-COM-02 댓글 관리</x:v>
      </x:c>
      <x:c r="B273" s="171" t="n">
        <x:f>SUM(B274:B280)</x:f>
        <x:v>17</x:v>
      </x:c>
      <x:c r="C273" s="172" t="n">
        <x:f>SUM(C274:C280)</x:f>
        <x:v>1</x:v>
      </x:c>
      <x:c r="D273" s="173" t="n">
        <x:f>D267*L61</x:f>
        <x:v>0.005844155844155843</x:v>
      </x:c>
      <x:c r="R273"/>
      <x:c r="S273"/>
      <x:c r="T273"/>
      <x:c r="U273"/>
    </x:row>
    <x:row r="274" ht="20" customHeight="1">
      <x:c r="A274" s="174" t="str">
        <x:v>　　　• 게시글별 댓글 조회 API 구현 (답글 포함 계층 구조 응답)</x:v>
      </x:c>
      <x:c r="B274" s="183" t="n">
        <x:f>'항목별 평가'!B289</x:f>
        <x:v>3</x:v>
      </x:c>
      <x:c r="C274" s="176" t="n">
        <x:f>IFERROR(B274/B$273,0)</x:f>
        <x:v>0.17647058823529413</x:v>
      </x:c>
      <x:c r="D274" s="176" t="n">
        <x:f>C274*D$273</x:f>
        <x:v>0.0010313216195569136</x:v>
      </x:c>
      <x:c r="R274"/>
      <x:c r="S274"/>
      <x:c r="T274"/>
      <x:c r="U274"/>
    </x:row>
    <x:row r="275" ht="20" customHeight="1">
      <x:c r="A275" s="180" t="str">
        <x:v>　　　• 댓글·답글 생성 API 구현 (답글은 1단계까지만 허용)</x:v>
      </x:c>
      <x:c r="B275" s="185" t="n">
        <x:f>'항목별 평가'!B290</x:f>
        <x:v>3</x:v>
      </x:c>
      <x:c r="C275" s="182" t="n">
        <x:f>IFERROR(B275/B$273,0)</x:f>
        <x:v>0.17647058823529413</x:v>
      </x:c>
      <x:c r="D275" s="182" t="n">
        <x:f>C275*D$273</x:f>
        <x:v>0.0010313216195569136</x:v>
      </x:c>
      <x:c r="R275"/>
      <x:c r="S275"/>
      <x:c r="T275"/>
      <x:c r="U275"/>
    </x:row>
    <x:row r="276" ht="20" customHeight="1">
      <x:c r="A276" s="174" t="str">
        <x:v>　　　• 댓글 수정 API 구현 (작성자 권한 검증)</x:v>
      </x:c>
      <x:c r="B276" s="183" t="n">
        <x:f>'항목별 평가'!B291</x:f>
        <x:v>2</x:v>
      </x:c>
      <x:c r="C276" s="176" t="n">
        <x:f>IFERROR(B276/B$273,0)</x:f>
        <x:v>0.11764705882352941</x:v>
      </x:c>
      <x:c r="D276" s="176" t="n">
        <x:f>C276*D$273</x:f>
        <x:v>0.0006875477463712756</x:v>
      </x:c>
      <x:c r="R276"/>
      <x:c r="S276"/>
      <x:c r="T276"/>
      <x:c r="U276"/>
    </x:row>
    <x:row r="277" ht="20" customHeight="1">
      <x:c r="A277" s="180" t="str">
        <x:v>　　　• 댓글 삭제 API 구현 (soft delete, 삭제 상태로 표시)</x:v>
      </x:c>
      <x:c r="B277" s="185" t="n">
        <x:f>'항목별 평가'!B292</x:f>
        <x:v>2</x:v>
      </x:c>
      <x:c r="C277" s="182" t="n">
        <x:f>IFERROR(B277/B$273,0)</x:f>
        <x:v>0.11764705882352941</x:v>
      </x:c>
      <x:c r="D277" s="182" t="n">
        <x:f>C277*D$273</x:f>
        <x:v>0.0006875477463712756</x:v>
      </x:c>
      <x:c r="R277"/>
      <x:c r="S277"/>
      <x:c r="T277"/>
      <x:c r="U277"/>
    </x:row>
    <x:row r="278" ht="20" customHeight="1">
      <x:c r="A278" s="174" t="str">
        <x:v>　　　• 댓글 좋아요 추가·취소 API 구현 (사용자당 1회)</x:v>
      </x:c>
      <x:c r="B278" s="183" t="n">
        <x:f>'항목별 평가'!B293</x:f>
        <x:v>3</x:v>
      </x:c>
      <x:c r="C278" s="176" t="n">
        <x:f>IFERROR(B278/B$273,0)</x:f>
        <x:v>0.17647058823529413</x:v>
      </x:c>
      <x:c r="D278" s="176" t="n">
        <x:f>C278*D$273</x:f>
        <x:v>0.0010313216195569136</x:v>
      </x:c>
      <x:c r="R278"/>
      <x:c r="S278"/>
      <x:c r="T278"/>
      <x:c r="U278"/>
    </x:row>
    <x:row r="279" ht="20" customHeight="1">
      <x:c r="A279" s="180" t="str">
        <x:v>　　　• 게시글 존재 여부 검증</x:v>
      </x:c>
      <x:c r="B279" s="185" t="n">
        <x:f>'항목별 평가'!B294</x:f>
        <x:v>1</x:v>
      </x:c>
      <x:c r="C279" s="182" t="n">
        <x:f>IFERROR(B279/B$273,0)</x:f>
        <x:v>0.058823529411764705</x:v>
      </x:c>
      <x:c r="D279" s="182" t="n">
        <x:f>C279*D$273</x:f>
        <x:v>0.0003437738731856378</x:v>
      </x:c>
      <x:c r="R279"/>
      <x:c r="S279"/>
      <x:c r="T279"/>
      <x:c r="U279"/>
    </x:row>
    <x:row r="280" ht="20" customHeight="1">
      <x:c r="A280" s="174" t="str">
        <x:v>　　　• 내 게시글에 타인이 댓글 작성 시 알림 이벤트 발행</x:v>
      </x:c>
      <x:c r="B280" s="183" t="n">
        <x:f>'항목별 평가'!B295</x:f>
        <x:v>3</x:v>
      </x:c>
      <x:c r="C280" s="176" t="n">
        <x:f>IFERROR(B280/B$273,0)</x:f>
        <x:v>0.17647058823529413</x:v>
      </x:c>
      <x:c r="D280" s="176" t="n">
        <x:f>C280*D$273</x:f>
        <x:v>0.0010313216195569136</x:v>
      </x:c>
      <x:c r="R280"/>
      <x:c r="S280"/>
      <x:c r="T280"/>
      <x:c r="U280"/>
    </x:row>
    <x:row r="281" ht="22" customHeight="1">
      <x:c r="A281" s="170" t="str">
        <x:v>　　FR-COM-03 투표와 참여 내역</x:v>
      </x:c>
      <x:c r="B281" s="171" t="n">
        <x:f>SUM(B282:B285)</x:f>
        <x:v>10</x:v>
      </x:c>
      <x:c r="C281" s="172" t="n">
        <x:f>SUM(C282:C285)</x:f>
        <x:v>0.9999999999999999</x:v>
      </x:c>
      <x:c r="D281" s="173" t="n">
        <x:f>D267*L62</x:f>
        <x:v>0.008766233766233764</x:v>
      </x:c>
      <x:c r="R281"/>
      <x:c r="S281"/>
      <x:c r="T281"/>
      <x:c r="U281"/>
    </x:row>
    <x:row r="282" ht="20" customHeight="1">
      <x:c r="A282" s="180" t="str">
        <x:v>　　　• 투표 참여 API 구현 (마감 후 투표 거부, 중복 투표는 UNIQUE 제약으로 방지하고 재요청에 같은 결과 응답)</x:v>
      </x:c>
      <x:c r="B282" s="185" t="n">
        <x:f>'항목별 평가'!B297</x:f>
        <x:v>3</x:v>
      </x:c>
      <x:c r="C282" s="182" t="n">
        <x:f>IFERROR(B282/B$281,0)</x:f>
        <x:v>0.3</x:v>
      </x:c>
      <x:c r="D282" s="182" t="n">
        <x:f>C282*D$281</x:f>
        <x:v>0.0026298701298701293</x:v>
      </x:c>
      <x:c r="R282"/>
      <x:c r="S282"/>
      <x:c r="T282"/>
      <x:c r="U282"/>
    </x:row>
    <x:row r="283" ht="20" customHeight="1">
      <x:c r="A283" s="174" t="str">
        <x:v>　　　• 투표 집계 조회 API 구현 (비로그인 조회 허용, 조회 시점 기준 집계)</x:v>
      </x:c>
      <x:c r="B283" s="183" t="n">
        <x:f>'항목별 평가'!B298</x:f>
        <x:v>3</x:v>
      </x:c>
      <x:c r="C283" s="176" t="n">
        <x:f>IFERROR(B283/B$281,0)</x:f>
        <x:v>0.3</x:v>
      </x:c>
      <x:c r="D283" s="176" t="n">
        <x:f>C283*D$281</x:f>
        <x:v>0.0026298701298701293</x:v>
      </x:c>
      <x:c r="R283"/>
      <x:c r="S283"/>
      <x:c r="T283"/>
      <x:c r="U283"/>
    </x:row>
    <x:row r="284" ht="20" customHeight="1">
      <x:c r="A284" s="180" t="str">
        <x:v>　　　• 투표 마감 감지 스케줄러 구현 및 작성자 알림 이벤트 발행</x:v>
      </x:c>
      <x:c r="B284" s="185" t="n">
        <x:f>'항목별 평가'!B299</x:f>
        <x:v>3</x:v>
      </x:c>
      <x:c r="C284" s="182" t="n">
        <x:f>IFERROR(B284/B$281,0)</x:f>
        <x:v>0.3</x:v>
      </x:c>
      <x:c r="D284" s="182" t="n">
        <x:f>C284*D$281</x:f>
        <x:v>0.0026298701298701293</x:v>
      </x:c>
      <x:c r="R284"/>
      <x:c r="S284"/>
      <x:c r="T284"/>
      <x:c r="U284"/>
    </x:row>
    <x:row r="285" ht="20" customHeight="1">
      <x:c r="A285" s="174" t="str">
        <x:v>　　　• 투표 게시글이 아닌 글에 대한 투표 요청 거부</x:v>
      </x:c>
      <x:c r="B285" s="183" t="n">
        <x:f>'항목별 평가'!B300</x:f>
        <x:v>1</x:v>
      </x:c>
      <x:c r="C285" s="176" t="n">
        <x:f>IFERROR(B285/B$281,0)</x:f>
        <x:v>0.1</x:v>
      </x:c>
      <x:c r="D285" s="176" t="n">
        <x:f>C285*D$281</x:f>
        <x:v>0.0008766233766233765</x:v>
      </x:c>
      <x:c r="R285"/>
      <x:c r="S285"/>
      <x:c r="T285"/>
      <x:c r="U285"/>
    </x:row>
    <x:row r="286" ht="22" customHeight="1">
      <x:c r="A286" s="170" t="str">
        <x:v>　　FR-COM-04 커뮤니티 연동</x:v>
      </x:c>
      <x:c r="B286" s="171" t="n">
        <x:f>SUM(B287:B289)</x:f>
        <x:v>9</x:v>
      </x:c>
      <x:c r="C286" s="172" t="n">
        <x:f>SUM(C287:C289)</x:f>
        <x:v>1</x:v>
      </x:c>
      <x:c r="D286" s="173" t="n">
        <x:f>D267*L63</x:f>
        <x:v>0.008766233766233764</x:v>
      </x:c>
      <x:c r="R286"/>
      <x:c r="S286"/>
      <x:c r="T286"/>
      <x:c r="U286"/>
    </x:row>
    <x:row r="287" ht="20" customHeight="1">
      <x:c r="A287" s="180" t="str">
        <x:v>　　　• 공유 대상 초안 조회 API 구현 (추천·피팅 서비스(경민님), 월드컵 서비스(주희님) 호출)</x:v>
      </x:c>
      <x:c r="B287" s="185" t="n">
        <x:f>'항목별 평가'!B302</x:f>
        <x:v>3</x:v>
      </x:c>
      <x:c r="C287" s="182" t="n">
        <x:f>IFERROR(B287/B$286,0)</x:f>
        <x:v>0.3333333333333333</x:v>
      </x:c>
      <x:c r="D287" s="182" t="n">
        <x:f>C287*D$286</x:f>
        <x:v>0.0029220779220779213</x:v>
      </x:c>
      <x:c r="R287"/>
      <x:c r="S287"/>
      <x:c r="T287"/>
      <x:c r="U287"/>
    </x:row>
    <x:row r="288" ht="20" customHeight="1">
      <x:c r="A288" s="174" t="str">
        <x:v>　　　• 공유 대상의 본인 소유 여부 검증</x:v>
      </x:c>
      <x:c r="B288" s="183" t="n">
        <x:f>'항목별 평가'!B303</x:f>
        <x:v>3</x:v>
      </x:c>
      <x:c r="C288" s="176" t="n">
        <x:f>IFERROR(B288/B$286,0)</x:f>
        <x:v>0.3333333333333333</x:v>
      </x:c>
      <x:c r="D288" s="176" t="n">
        <x:f>C288*D$286</x:f>
        <x:v>0.0029220779220779213</x:v>
      </x:c>
      <x:c r="R288"/>
      <x:c r="S288"/>
      <x:c r="T288"/>
      <x:c r="U288"/>
    </x:row>
    <x:row r="289" ht="20" customHeight="1">
      <x:c r="A289" s="180" t="str">
        <x:v>　　　• 게시글에 공유 대상 타입·ID 및 표시용 스냅샷 저장</x:v>
      </x:c>
      <x:c r="B289" s="185" t="n">
        <x:f>'항목별 평가'!B304</x:f>
        <x:v>3</x:v>
      </x:c>
      <x:c r="C289" s="182" t="n">
        <x:f>IFERROR(B289/B$286,0)</x:f>
        <x:v>0.3333333333333333</x:v>
      </x:c>
      <x:c r="D289" s="182" t="n">
        <x:f>C289*D$286</x:f>
        <x:v>0.0029220779220779213</x:v>
      </x:c>
      <x:c r="R289"/>
      <x:c r="S289"/>
      <x:c r="T289"/>
      <x:c r="U289"/>
    </x:row>
    <x:row r="290" ht="22" customHeight="1">
      <x:c r="A290" s="170" t="str">
        <x:v>　　FR-COM-05 커뮤니티 메인 페이지</x:v>
      </x:c>
      <x:c r="B290" s="171" t="n">
        <x:f>SUM(B291:B297)</x:f>
        <x:v>15</x:v>
      </x:c>
      <x:c r="C290" s="172" t="n">
        <x:f>SUM(C291:C297)</x:f>
        <x:v>1</x:v>
      </x:c>
      <x:c r="D290" s="173" t="n">
        <x:f>D267*L64</x:f>
        <x:v>0.005844155844155843</x:v>
      </x:c>
      <x:c r="R290"/>
      <x:c r="S290"/>
      <x:c r="T290"/>
      <x:c r="U290"/>
    </x:row>
    <x:row r="291" ht="20" customHeight="1">
      <x:c r="A291" s="174" t="str">
        <x:v>　　　• 게시글 목록 조회 API 구현 (페이징, 최신순)</x:v>
      </x:c>
      <x:c r="B291" s="183" t="n">
        <x:f>'항목별 평가'!B306</x:f>
        <x:v>2</x:v>
      </x:c>
      <x:c r="C291" s="176" t="n">
        <x:f>IFERROR(B291/B$290,0)</x:f>
        <x:v>0.13333333333333333</x:v>
      </x:c>
      <x:c r="D291" s="176" t="n">
        <x:f>C291*D$290</x:f>
        <x:v>0.000779220779220779</x:v>
      </x:c>
      <x:c r="R291"/>
      <x:c r="S291"/>
      <x:c r="T291"/>
      <x:c r="U291"/>
    </x:row>
    <x:row r="292" ht="20" customHeight="1">
      <x:c r="A292" s="180" t="str">
        <x:v>　　　• 분류별 목록 필터 구현 (전체·투표·패션·코디 질문·일상)</x:v>
      </x:c>
      <x:c r="B292" s="185" t="n">
        <x:f>'항목별 평가'!B307</x:f>
        <x:v>2</x:v>
      </x:c>
      <x:c r="C292" s="182" t="n">
        <x:f>IFERROR(B292/B$290,0)</x:f>
        <x:v>0.13333333333333333</x:v>
      </x:c>
      <x:c r="D292" s="182" t="n">
        <x:f>C292*D$290</x:f>
        <x:v>0.000779220779220779</x:v>
      </x:c>
      <x:c r="R292"/>
      <x:c r="S292"/>
      <x:c r="T292"/>
      <x:c r="U292"/>
    </x:row>
    <x:row r="293" ht="20" customHeight="1">
      <x:c r="A293" s="174" t="str">
        <x:v>　　　• 제목·본문 키워드 검색 구현</x:v>
      </x:c>
      <x:c r="B293" s="183" t="n">
        <x:f>'항목별 평가'!B308</x:f>
        <x:v>2</x:v>
      </x:c>
      <x:c r="C293" s="176" t="n">
        <x:f>IFERROR(B293/B$290,0)</x:f>
        <x:v>0.13333333333333333</x:v>
      </x:c>
      <x:c r="D293" s="176" t="n">
        <x:f>C293*D$290</x:f>
        <x:v>0.000779220779220779</x:v>
      </x:c>
      <x:c r="R293"/>
      <x:c r="S293"/>
      <x:c r="T293"/>
      <x:c r="U293"/>
    </x:row>
    <x:row r="294" ht="20" customHeight="1">
      <x:c r="A294" s="180" t="str">
        <x:v>　　　• 목록 응답에 제목·분류·작성자 닉네임·작성 시간·썸네일·좋아요 수·댓글 수 포함</x:v>
      </x:c>
      <x:c r="B294" s="185" t="n">
        <x:f>'항목별 평가'!B309</x:f>
        <x:v>3</x:v>
      </x:c>
      <x:c r="C294" s="182" t="n">
        <x:f>IFERROR(B294/B$290,0)</x:f>
        <x:v>0.2</x:v>
      </x:c>
      <x:c r="D294" s="182" t="n">
        <x:f>C294*D$290</x:f>
        <x:v>0.0011688311688311686</x:v>
      </x:c>
      <x:c r="R294"/>
      <x:c r="S294"/>
      <x:c r="T294"/>
      <x:c r="U294"/>
    </x:row>
    <x:row r="295" ht="20" customHeight="1">
      <x:c r="A295" s="174" t="str">
        <x:v>　　　• 썸네일 결정 규칙 구현 (첨부 이미지 → 첫 번째 투표 선택지 이미지 → 공유 대상 스냅샷 이미지 순)</x:v>
      </x:c>
      <x:c r="B295" s="183" t="n">
        <x:f>'항목별 평가'!B310</x:f>
        <x:v>2</x:v>
      </x:c>
      <x:c r="C295" s="176" t="n">
        <x:f>IFERROR(B295/B$290,0)</x:f>
        <x:v>0.13333333333333333</x:v>
      </x:c>
      <x:c r="D295" s="176" t="n">
        <x:f>C295*D$290</x:f>
        <x:v>0.000779220779220779</x:v>
      </x:c>
      <x:c r="R295"/>
      <x:c r="S295"/>
      <x:c r="T295"/>
      <x:c r="U295"/>
    </x:row>
    <x:row r="296" ht="20" customHeight="1">
      <x:c r="A296" s="180" t="str">
        <x:v>　　　• 게시글 좋아요 추가·취소 API 구현 (사용자당 1회)</x:v>
      </x:c>
      <x:c r="B296" s="185" t="n">
        <x:f>'항목별 평가'!B311</x:f>
        <x:v>3</x:v>
      </x:c>
      <x:c r="C296" s="182" t="n">
        <x:f>IFERROR(B296/B$290,0)</x:f>
        <x:v>0.2</x:v>
      </x:c>
      <x:c r="D296" s="182" t="n">
        <x:f>C296*D$290</x:f>
        <x:v>0.0011688311688311686</x:v>
      </x:c>
      <x:c r="R296"/>
      <x:c r="S296"/>
      <x:c r="T296"/>
      <x:c r="U296"/>
    </x:row>
    <x:row r="297" ht="20" customHeight="1">
      <x:c r="A297" s="174" t="str">
        <x:v>　　　• 결과가 없을 때 빈 목록 응답 처리</x:v>
      </x:c>
      <x:c r="B297" s="183" t="n">
        <x:f>'항목별 평가'!B312</x:f>
        <x:v>1</x:v>
      </x:c>
      <x:c r="C297" s="176" t="n">
        <x:f>IFERROR(B297/B$290,0)</x:f>
        <x:v>0.06666666666666667</x:v>
      </x:c>
      <x:c r="D297" s="176" t="n">
        <x:f>C297*D$290</x:f>
        <x:v>0.0003896103896103895</x:v>
      </x:c>
      <x:c r="R297"/>
      <x:c r="S297"/>
      <x:c r="T297"/>
      <x:c r="U297"/>
    </x:row>
    <x:row r="298" ht="22" customHeight="1">
      <x:c r="A298" s="170" t="str">
        <x:v>　　FR-COM-06 커뮤니티 투표 게시글 작성 및 수정</x:v>
      </x:c>
      <x:c r="B298" s="171" t="n">
        <x:f>SUM(B299:B308)</x:f>
        <x:v>23</x:v>
      </x:c>
      <x:c r="C298" s="172" t="n">
        <x:f>SUM(C299:C308)</x:f>
        <x:v>1</x:v>
      </x:c>
      <x:c r="D298" s="173" t="n">
        <x:f>D267*L65</x:f>
        <x:v>0.005844155844155843</x:v>
      </x:c>
      <x:c r="R298"/>
      <x:c r="S298"/>
      <x:c r="T298"/>
      <x:c r="U298"/>
    </x:row>
    <x:row r="299" ht="20" customHeight="1">
      <x:c r="A299" s="180" t="str">
        <x:v>　　　• 투표 게시글 생성 API 구현 (게시글과 선택지를 하나의 트랜잭션으로 저장)</x:v>
      </x:c>
      <x:c r="B299" s="185" t="n">
        <x:f>'항목별 평가'!B314</x:f>
        <x:v>3</x:v>
      </x:c>
      <x:c r="C299" s="182" t="n">
        <x:f>IFERROR(B299/B$298,0)</x:f>
        <x:v>0.13043478260869565</x:v>
      </x:c>
      <x:c r="D299" s="182" t="n">
        <x:f>C299*D$298</x:f>
        <x:v>0.0007622811970638056</x:v>
      </x:c>
      <x:c r="R299"/>
      <x:c r="S299"/>
      <x:c r="T299"/>
      <x:c r="U299"/>
    </x:row>
    <x:row r="300" ht="20" customHeight="1">
      <x:c r="A300" s="174" t="str">
        <x:v>　　　• 선택지 개수 검증 (2\~4개, A\~D)</x:v>
      </x:c>
      <x:c r="B300" s="183" t="n">
        <x:f>'항목별 평가'!B315</x:f>
        <x:v>1</x:v>
      </x:c>
      <x:c r="C300" s="176" t="n">
        <x:f>IFERROR(B300/B$298,0)</x:f>
        <x:v>0.043478260869565216</x:v>
      </x:c>
      <x:c r="D300" s="176" t="n">
        <x:f>C300*D$298</x:f>
        <x:v>0.00025409373235460187</x:v>
      </x:c>
      <x:c r="R300"/>
      <x:c r="S300"/>
      <x:c r="T300"/>
      <x:c r="U300"/>
    </x:row>
    <x:row r="301" ht="20" customHeight="1">
      <x:c r="A301" s="180" t="str">
        <x:v>　　　• 선택지 출처별 저장 구현 (AI 추천 코디·상품 / 찜 상품 / 직접 업로드 사진)</x:v>
      </x:c>
      <x:c r="B301" s="185" t="n">
        <x:f>'항목별 평가'!B316</x:f>
        <x:v>3</x:v>
      </x:c>
      <x:c r="C301" s="182" t="n">
        <x:f>IFERROR(B301/B$298,0)</x:f>
        <x:v>0.13043478260869565</x:v>
      </x:c>
      <x:c r="D301" s="182" t="n">
        <x:f>C301*D$298</x:f>
        <x:v>0.0007622811970638056</x:v>
      </x:c>
      <x:c r="R301"/>
      <x:c r="S301"/>
      <x:c r="T301"/>
      <x:c r="U301"/>
    </x:row>
    <x:row r="302" ht="20" customHeight="1">
      <x:c r="A302" s="174" t="str">
        <x:v>　　　• AI 추천·찜 선택지는 본인 소유 여부 검증 (추천·피팅 서비스(경민), 찜 서비스(주희) API 호출)</x:v>
      </x:c>
      <x:c r="B302" s="183" t="n">
        <x:f>'항목별 평가'!B317</x:f>
        <x:v>3</x:v>
      </x:c>
      <x:c r="C302" s="176" t="n">
        <x:f>IFERROR(B302/B$298,0)</x:f>
        <x:v>0.13043478260869565</x:v>
      </x:c>
      <x:c r="D302" s="176" t="n">
        <x:f>C302*D$298</x:f>
        <x:v>0.0007622811970638056</x:v>
      </x:c>
      <x:c r="R302"/>
      <x:c r="S302"/>
      <x:c r="T302"/>
      <x:c r="U302"/>
    </x:row>
    <x:row r="303" ht="20" customHeight="1">
      <x:c r="A303" s="180" t="str">
        <x:v>　　　• 선택지 표시용 스냅샷 저장 (이미지·상품명·가격·출처)</x:v>
      </x:c>
      <x:c r="B303" s="185" t="n">
        <x:f>'항목별 평가'!B318</x:f>
        <x:v>2</x:v>
      </x:c>
      <x:c r="C303" s="182" t="n">
        <x:f>IFERROR(B303/B$298,0)</x:f>
        <x:v>0.08695652173913043</x:v>
      </x:c>
      <x:c r="D303" s="182" t="n">
        <x:f>C303*D$298</x:f>
        <x:v>0.0005081874647092037</x:v>
      </x:c>
      <x:c r="R303"/>
      <x:c r="S303"/>
      <x:c r="T303"/>
      <x:c r="U303"/>
    </x:row>
    <x:row r="304" ht="20" customHeight="1">
      <x:c r="A304" s="174" t="str">
        <x:v>　　　• 직접 업로드 사진 S3 저장 구현 (허용 형식·용량 합의 후)</x:v>
      </x:c>
      <x:c r="B304" s="183" t="n">
        <x:f>'항목별 평가'!B319</x:f>
        <x:v>2</x:v>
      </x:c>
      <x:c r="C304" s="176" t="n">
        <x:f>IFERROR(B304/B$298,0)</x:f>
        <x:v>0.08695652173913043</x:v>
      </x:c>
      <x:c r="D304" s="176" t="n">
        <x:f>C304*D$298</x:f>
        <x:v>0.0005081874647092037</x:v>
      </x:c>
      <x:c r="R304"/>
      <x:c r="S304"/>
      <x:c r="T304"/>
      <x:c r="U304"/>
    </x:row>
    <x:row r="305" ht="20" customHeight="1">
      <x:c r="A305" s="180" t="str">
        <x:v>　　　• 투표 마감 시각 서버에서 자동 설정 (생성 시각 + 6시간, 클라이언트 값 무시)</x:v>
      </x:c>
      <x:c r="B305" s="185" t="n">
        <x:f>'항목별 평가'!B320</x:f>
        <x:v>1</x:v>
      </x:c>
      <x:c r="C305" s="182" t="n">
        <x:f>IFERROR(B305/B$298,0)</x:f>
        <x:v>0.043478260869565216</x:v>
      </x:c>
      <x:c r="D305" s="182" t="n">
        <x:f>C305*D$298</x:f>
        <x:v>0.00025409373235460187</x:v>
      </x:c>
      <x:c r="R305"/>
      <x:c r="S305"/>
      <x:c r="T305"/>
      <x:c r="U305"/>
    </x:row>
    <x:row r="306" ht="20" customHeight="1">
      <x:c r="A306" s="174" t="str">
        <x:v>　　　• 작성자 투표 조기 종료 API 구현</x:v>
      </x:c>
      <x:c r="B306" s="183" t="n">
        <x:f>'항목별 평가'!B321</x:f>
        <x:v>3</x:v>
      </x:c>
      <x:c r="C306" s="176" t="n">
        <x:f>IFERROR(B306/B$298,0)</x:f>
        <x:v>0.13043478260869565</x:v>
      </x:c>
      <x:c r="D306" s="176" t="n">
        <x:f>C306*D$298</x:f>
        <x:v>0.0007622811970638056</x:v>
      </x:c>
      <x:c r="R306"/>
      <x:c r="S306"/>
      <x:c r="T306"/>
      <x:c r="U306"/>
    </x:row>
    <x:row r="307" ht="20" customHeight="1">
      <x:c r="A307" s="180" t="str">
        <x:v>　　　• 투표 게시글 수정 API 구현 (투표 참여가 1건 이상이면 선택지 수정 거부, 제목·본문만 수정 허용)</x:v>
      </x:c>
      <x:c r="B307" s="185" t="n">
        <x:f>'항목별 평가'!B322</x:f>
        <x:v>3</x:v>
      </x:c>
      <x:c r="C307" s="182" t="n">
        <x:f>IFERROR(B307/B$298,0)</x:f>
        <x:v>0.13043478260869565</x:v>
      </x:c>
      <x:c r="D307" s="182" t="n">
        <x:f>C307*D$298</x:f>
        <x:v>0.0007622811970638056</x:v>
      </x:c>
      <x:c r="R307"/>
      <x:c r="S307"/>
      <x:c r="T307"/>
      <x:c r="U307"/>
    </x:row>
    <x:row r="308" ht="20" customHeight="1">
      <x:c r="A308" s="174" t="str">
        <x:v>　　　• 수정 화면용 기존 게시글·선택지·첨부 정보 조회 응답 구현</x:v>
      </x:c>
      <x:c r="B308" s="183" t="n">
        <x:f>'항목별 평가'!B323</x:f>
        <x:v>2</x:v>
      </x:c>
      <x:c r="C308" s="176" t="n">
        <x:f>IFERROR(B308/B$298,0)</x:f>
        <x:v>0.08695652173913043</x:v>
      </x:c>
      <x:c r="D308" s="176" t="n">
        <x:f>C308*D$298</x:f>
        <x:v>0.0005081874647092037</x:v>
      </x:c>
      <x:c r="R308"/>
      <x:c r="S308"/>
      <x:c r="T308"/>
      <x:c r="U308"/>
    </x:row>
    <x:row r="309" ht="24" customHeight="1">
      <x:c r="A309" s="162" t="str">
        <x:v>　AI 가상 피팅 (승원, 경민)</x:v>
      </x:c>
      <x:c r="B309" s="188" t="str">
        <x:v>점수</x:v>
      </x:c>
      <x:c r="C309" s="189" t="str">
        <x:v>비율</x:v>
      </x:c>
      <x:c r="D309" s="165" t="n">
        <x:f>P5*J25</x:f>
        <x:v>0.05454545454545454</x:v>
      </x:c>
      <x:c r="R309"/>
      <x:c r="S309"/>
      <x:c r="T309"/>
      <x:c r="U309"/>
    </x:row>
    <x:row r="310" ht="22" customHeight="1">
      <x:c r="A310" s="170" t="str">
        <x:v>　　FR-VTO-01 피팅 요청 생성</x:v>
      </x:c>
      <x:c r="B310" s="171" t="n">
        <x:f>SUM(B311:B315)</x:f>
        <x:v>10</x:v>
      </x:c>
      <x:c r="C310" s="172" t="n">
        <x:f>SUM(C311:C315)</x:f>
        <x:v>1</x:v>
      </x:c>
      <x:c r="D310" s="173" t="n">
        <x:f>D309*L78</x:f>
        <x:v>0.00606060606060606</x:v>
      </x:c>
      <x:c r="R310"/>
      <x:c r="S310"/>
      <x:c r="T310"/>
      <x:c r="U310"/>
    </x:row>
    <x:row r="311" ht="20" customHeight="1">
      <x:c r="A311" s="180" t="str">
        <x:v>　　　• 사용자별 피팅 후보 목록 조회 API 구현</x:v>
      </x:c>
      <x:c r="B311" s="185" t="n">
        <x:f>'항목별 평가'!B326</x:f>
        <x:v>2</x:v>
      </x:c>
      <x:c r="C311" s="182" t="n">
        <x:f>IFERROR(B311/B$310,0)</x:f>
        <x:v>0.2</x:v>
      </x:c>
      <x:c r="D311" s="182" t="n">
        <x:f>C311*D$310</x:f>
        <x:v>0.0012121212121212121</x:v>
      </x:c>
      <x:c r="R311"/>
      <x:c r="S311"/>
      <x:c r="T311"/>
      <x:c r="U311"/>
    </x:row>
    <x:row r="312" ht="20" customHeight="1">
      <x:c r="A312" s="174" t="str">
        <x:v>　　　• 피팅 후보 상품 추가 API 구현</x:v>
      </x:c>
      <x:c r="B312" s="183" t="n">
        <x:f>'항목별 평가'!B327</x:f>
        <x:v>2</x:v>
      </x:c>
      <x:c r="C312" s="176" t="n">
        <x:f>IFERROR(B312/B$310,0)</x:f>
        <x:v>0.2</x:v>
      </x:c>
      <x:c r="D312" s="176" t="n">
        <x:f>C312*D$310</x:f>
        <x:v>0.0012121212121212121</x:v>
      </x:c>
      <x:c r="R312"/>
      <x:c r="S312"/>
      <x:c r="T312"/>
      <x:c r="U312"/>
    </x:row>
    <x:row r="313" ht="20" customHeight="1">
      <x:c r="A313" s="180" t="str">
        <x:v>　　　• 동일 상품 중복 추가 방지 로직 구현</x:v>
      </x:c>
      <x:c r="B313" s="185" t="n">
        <x:f>'항목별 평가'!B328</x:f>
        <x:v>2</x:v>
      </x:c>
      <x:c r="C313" s="182" t="n">
        <x:f>IFERROR(B313/B$310,0)</x:f>
        <x:v>0.2</x:v>
      </x:c>
      <x:c r="D313" s="182" t="n">
        <x:f>C313*D$310</x:f>
        <x:v>0.0012121212121212121</x:v>
      </x:c>
      <x:c r="R313"/>
      <x:c r="S313"/>
      <x:c r="T313"/>
      <x:c r="U313"/>
    </x:row>
    <x:row r="314" ht="20" customHeight="1">
      <x:c r="A314" s="174" t="str">
        <x:v>　　　• 피팅 후보 상품 삭제 API 구현</x:v>
      </x:c>
      <x:c r="B314" s="183" t="n">
        <x:f>'항목별 평가'!B329</x:f>
        <x:v>2</x:v>
      </x:c>
      <x:c r="C314" s="176" t="n">
        <x:f>IFERROR(B314/B$310,0)</x:f>
        <x:v>0.2</x:v>
      </x:c>
      <x:c r="D314" s="176" t="n">
        <x:f>C314*D$310</x:f>
        <x:v>0.0012121212121212121</x:v>
      </x:c>
      <x:c r="R314"/>
      <x:c r="S314"/>
      <x:c r="T314"/>
      <x:c r="U314"/>
    </x:row>
    <x:row r="315" ht="20" customHeight="1">
      <x:c r="A315" s="180" t="str">
        <x:v>　　　• 피팅에 필요한 상품 정보 조회 응답 구현</x:v>
      </x:c>
      <x:c r="B315" s="185" t="n">
        <x:f>'항목별 평가'!B330</x:f>
        <x:v>2</x:v>
      </x:c>
      <x:c r="C315" s="182" t="n">
        <x:f>IFERROR(B315/B$310,0)</x:f>
        <x:v>0.2</x:v>
      </x:c>
      <x:c r="D315" s="182" t="n">
        <x:f>C315*D$310</x:f>
        <x:v>0.0012121212121212121</x:v>
      </x:c>
      <x:c r="R315"/>
      <x:c r="S315"/>
      <x:c r="T315"/>
      <x:c r="U315"/>
    </x:row>
    <x:row r="316" ht="22" customHeight="1">
      <x:c r="A316" s="170" t="str">
        <x:v>　　FR-VTO-02 피팅 작업 요청 생성</x:v>
      </x:c>
      <x:c r="B316" s="171" t="n">
        <x:f>SUM(B317:B319)</x:f>
        <x:v>10</x:v>
      </x:c>
      <x:c r="C316" s="172" t="n">
        <x:f>SUM(C317:C319)</x:f>
        <x:v>1</x:v>
      </x:c>
      <x:c r="D316" s="173" t="n">
        <x:f>D309*L79</x:f>
        <x:v>0.01818181818181818</x:v>
      </x:c>
      <x:c r="R316"/>
      <x:c r="S316"/>
      <x:c r="T316"/>
      <x:c r="U316"/>
    </x:row>
    <x:row r="317" ht="20" customHeight="1">
      <x:c r="A317" s="174" t="str">
        <x:v>　　　• 사용자 전신 사진 업로드 API 및 스토리지 저장 구현</x:v>
      </x:c>
      <x:c r="B317" s="183" t="n">
        <x:f>'항목별 평가'!B332</x:f>
        <x:v>3</x:v>
      </x:c>
      <x:c r="C317" s="176" t="n">
        <x:f>IFERROR(B317/B$316,0)</x:f>
        <x:v>0.3</x:v>
      </x:c>
      <x:c r="D317" s="176" t="n">
        <x:f>C317*D$316</x:f>
        <x:v>0.005454545454545454</x:v>
      </x:c>
      <x:c r="R317"/>
      <x:c r="S317"/>
      <x:c r="T317"/>
      <x:c r="U317"/>
    </x:row>
    <x:row r="318" ht="20" customHeight="1">
      <x:c r="A318" s="180" t="str">
        <x:v>　　　• OpenAI GPT-Image-2.5 Sunburst API 연동 및 이미지 에디트/합성 페이로드 구성</x:v>
      </x:c>
      <x:c r="B318" s="185" t="n">
        <x:f>'항목별 평가'!B333</x:f>
        <x:v>4</x:v>
      </x:c>
      <x:c r="C318" s="182" t="n">
        <x:f>IFERROR(B318/B$316,0)</x:f>
        <x:v>0.4</x:v>
      </x:c>
      <x:c r="D318" s="182" t="n">
        <x:f>C318*D$316</x:f>
        <x:v>0.007272727272727273</x:v>
      </x:c>
      <x:c r="R318"/>
      <x:c r="S318"/>
      <x:c r="T318"/>
      <x:c r="U318"/>
    </x:row>
    <x:row r="319" ht="20" customHeight="1">
      <x:c r="A319" s="174" t="str">
        <x:v>　　　• 피팅 작업 생성 API 구현 및 즉시 응답 반환</x:v>
      </x:c>
      <x:c r="B319" s="183" t="n">
        <x:f>'항목별 평가'!B334</x:f>
        <x:v>3</x:v>
      </x:c>
      <x:c r="C319" s="176" t="n">
        <x:f>IFERROR(B319/B$316,0)</x:f>
        <x:v>0.3</x:v>
      </x:c>
      <x:c r="D319" s="176" t="n">
        <x:f>C319*D$316</x:f>
        <x:v>0.005454545454545454</x:v>
      </x:c>
      <x:c r="R319"/>
      <x:c r="S319"/>
      <x:c r="T319"/>
      <x:c r="U319"/>
    </x:row>
    <x:row r="320" ht="22" customHeight="1">
      <x:c r="A320" s="170" t="str">
        <x:v>　　FR-VTO-03 비동기 생성 상태</x:v>
      </x:c>
      <x:c r="B320" s="171" t="n">
        <x:f>SUM(B321:B323)</x:f>
        <x:v>10</x:v>
      </x:c>
      <x:c r="C320" s="172" t="n">
        <x:f>SUM(C321:C323)</x:f>
        <x:v>1</x:v>
      </x:c>
      <x:c r="D320" s="173" t="n">
        <x:f>D309*L80</x:f>
        <x:v>0.01818181818181818</x:v>
      </x:c>
      <x:c r="R320"/>
      <x:c r="S320"/>
      <x:c r="T320"/>
      <x:c r="U320"/>
    </x:row>
    <x:row r="321" ht="20" customHeight="1">
      <x:c r="A321" s="180" t="str">
        <x:v>　　　• 백그라운드 작업을 통한 OpenAI Sunburst API 호출 및 이미지 합성 비동기 처리</x:v>
      </x:c>
      <x:c r="B321" s="185" t="n">
        <x:f>'항목별 평가'!B336</x:f>
        <x:v>4</x:v>
      </x:c>
      <x:c r="C321" s="182" t="n">
        <x:f>IFERROR(B321/B$320,0)</x:f>
        <x:v>0.4</x:v>
      </x:c>
      <x:c r="D321" s="182" t="n">
        <x:f>C321*D$320</x:f>
        <x:v>0.007272727272727273</x:v>
      </x:c>
      <x:c r="R321"/>
      <x:c r="S321"/>
      <x:c r="T321"/>
      <x:c r="U321"/>
    </x:row>
    <x:row r="322" ht="20" customHeight="1">
      <x:c r="A322" s="174" t="str">
        <x:v>　　　• 생성된 실착 합성 결과 이미지의 스토리지 저장 및 이력 기록</x:v>
      </x:c>
      <x:c r="B322" s="183" t="n">
        <x:f>'항목별 평가'!B337</x:f>
        <x:v>3</x:v>
      </x:c>
      <x:c r="C322" s="176" t="n">
        <x:f>IFERROR(B322/B$320,0)</x:f>
        <x:v>0.3</x:v>
      </x:c>
      <x:c r="D322" s="176" t="n">
        <x:f>C322*D$320</x:f>
        <x:v>0.005454545454545454</x:v>
      </x:c>
      <x:c r="R322"/>
      <x:c r="S322"/>
      <x:c r="T322"/>
      <x:c r="U322"/>
    </x:row>
    <x:row r="323" ht="20" customHeight="1">
      <x:c r="A323" s="180" t="str">
        <x:v>　　　• 작업 완료 시점에 유저의 FCM 토큰을 조회하여 푸시 알림 기능 구현</x:v>
      </x:c>
      <x:c r="B323" s="185" t="n">
        <x:f>'항목별 평가'!B338</x:f>
        <x:v>3</x:v>
      </x:c>
      <x:c r="C323" s="182" t="n">
        <x:f>IFERROR(B323/B$320,0)</x:f>
        <x:v>0.3</x:v>
      </x:c>
      <x:c r="D323" s="182" t="n">
        <x:f>C323*D$320</x:f>
        <x:v>0.005454545454545454</x:v>
      </x:c>
      <x:c r="R323"/>
      <x:c r="S323"/>
      <x:c r="T323"/>
      <x:c r="U323"/>
    </x:row>
    <x:row r="324" ht="22" customHeight="1">
      <x:c r="A324" s="170" t="str">
        <x:v>　　FR-VTO-04 결과 확인과 재생성</x:v>
      </x:c>
      <x:c r="B324" s="171" t="n">
        <x:f>SUM(B325:B327)</x:f>
        <x:v>6</x:v>
      </x:c>
      <x:c r="C324" s="172" t="n">
        <x:f>SUM(C325:C327)</x:f>
        <x:v>1</x:v>
      </x:c>
      <x:c r="D324" s="173" t="n">
        <x:f>D309*L81</x:f>
        <x:v>0.01212121212121212</x:v>
      </x:c>
      <x:c r="R324"/>
      <x:c r="S324"/>
      <x:c r="T324"/>
      <x:c r="U324"/>
    </x:row>
    <x:row r="325" ht="20" customHeight="1">
      <x:c r="A325" s="174" t="str">
        <x:v>　　　• 완료 작업의 결과 이미지 및 연결된 상품 정보 조회 API 구현</x:v>
      </x:c>
      <x:c r="B325" s="183" t="n">
        <x:f>'항목별 평가'!B340</x:f>
        <x:v>2</x:v>
      </x:c>
      <x:c r="C325" s="176" t="n">
        <x:f>IFERROR(B325/B$324,0)</x:f>
        <x:v>0.3333333333333333</x:v>
      </x:c>
      <x:c r="D325" s="176" t="n">
        <x:f>C325*D$324</x:f>
        <x:v>0.0040404040404040395</x:v>
      </x:c>
      <x:c r="R325"/>
      <x:c r="S325"/>
      <x:c r="T325"/>
      <x:c r="U325"/>
    </x:row>
    <x:row r="326" ht="20" customHeight="1">
      <x:c r="A326" s="180" t="str">
        <x:v>　　　• 새 피팅 요청 시 기존 결과를 덮어쓰지 않고 개별 작업으로 분리 저장하는 로직 구현</x:v>
      </x:c>
      <x:c r="B326" s="185" t="n">
        <x:f>'항목별 평가'!B341</x:f>
        <x:v>2</x:v>
      </x:c>
      <x:c r="C326" s="182" t="n">
        <x:f>IFERROR(B326/B$324,0)</x:f>
        <x:v>0.3333333333333333</x:v>
      </x:c>
      <x:c r="D326" s="182" t="n">
        <x:f>C326*D$324</x:f>
        <x:v>0.0040404040404040395</x:v>
      </x:c>
      <x:c r="R326"/>
      <x:c r="S326"/>
      <x:c r="T326"/>
      <x:c r="U326"/>
    </x:row>
    <x:row r="327" ht="20" customHeight="1">
      <x:c r="A327" s="174" t="str">
        <x:v>　　　• 삭제된 데이터에 대한 조회 제한 방어 로직 구현</x:v>
      </x:c>
      <x:c r="B327" s="183" t="n">
        <x:f>'항목별 평가'!B342</x:f>
        <x:v>2</x:v>
      </x:c>
      <x:c r="C327" s="176" t="n">
        <x:f>IFERROR(B327/B$324,0)</x:f>
        <x:v>0.3333333333333333</x:v>
      </x:c>
      <x:c r="D327" s="176" t="n">
        <x:f>C327*D$324</x:f>
        <x:v>0.0040404040404040395</x:v>
      </x:c>
      <x:c r="R327"/>
      <x:c r="S327"/>
      <x:c r="T327"/>
      <x:c r="U327"/>
    </x:row>
    <x:row r="328" ht="24" customHeight="1">
      <x:c r="A328" s="162" t="str">
        <x:v>　알림 기능 (준우,지현)</x:v>
      </x:c>
      <x:c r="B328" s="188" t="str">
        <x:v>점수</x:v>
      </x:c>
      <x:c r="C328" s="189" t="str">
        <x:v>비율</x:v>
      </x:c>
      <x:c r="D328" s="165" t="n">
        <x:f>P5*J24</x:f>
        <x:v>0.0409090909090909</x:v>
      </x:c>
      <x:c r="R328"/>
      <x:c r="S328"/>
      <x:c r="T328"/>
      <x:c r="U328"/>
    </x:row>
    <x:row r="329" ht="22" customHeight="1">
      <x:c r="A329" s="170" t="str">
        <x:v>　　FR-NOT-00 알림 공통 기반</x:v>
      </x:c>
      <x:c r="B329" s="171" t="n">
        <x:f>SUM(B330:B334)</x:f>
        <x:v>15</x:v>
      </x:c>
      <x:c r="C329" s="172" t="n">
        <x:f>SUM(C330:C334)</x:f>
        <x:v>1</x:v>
      </x:c>
      <x:c r="D329" s="173" t="n">
        <x:f>D328*L91</x:f>
        <x:v>0.017532467532467528</x:v>
      </x:c>
      <x:c r="R329"/>
      <x:c r="S329"/>
      <x:c r="T329"/>
      <x:c r="U329"/>
    </x:row>
    <x:row r="330" ht="20" customHeight="1">
      <x:c r="A330" s="180" t="str">
        <x:v>　　　• 사용자별 알림 저장 구조 및 목록·안 읽은 수 조회 API 구현</x:v>
      </x:c>
      <x:c r="B330" s="185" t="n">
        <x:f>'항목별 평가'!B345</x:f>
        <x:v>3</x:v>
      </x:c>
      <x:c r="C330" s="182" t="n">
        <x:f>IFERROR(B330/B$329,0)</x:f>
        <x:v>0.2</x:v>
      </x:c>
      <x:c r="D330" s="182" t="n">
        <x:f>C330*D$329</x:f>
        <x:v>0.003506493506493506</x:v>
      </x:c>
      <x:c r="R330"/>
      <x:c r="S330"/>
      <x:c r="T330"/>
      <x:c r="U330"/>
    </x:row>
    <x:row r="331" ht="20" customHeight="1">
      <x:c r="A331" s="174" t="str">
        <x:v>　　　• 알림 읽음 상태 변경 API 구현</x:v>
      </x:c>
      <x:c r="B331" s="183" t="n">
        <x:f>'항목별 평가'!B346</x:f>
        <x:v>2</x:v>
      </x:c>
      <x:c r="C331" s="176" t="n">
        <x:f>IFERROR(B331/B$329,0)</x:f>
        <x:v>0.13333333333333333</x:v>
      </x:c>
      <x:c r="D331" s="176" t="n">
        <x:f>C331*D$329</x:f>
        <x:v>0.0023376623376623372</x:v>
      </x:c>
      <x:c r="R331"/>
      <x:c r="S331"/>
      <x:c r="T331"/>
      <x:c r="U331"/>
    </x:row>
    <x:row r="332" ht="20" customHeight="1">
      <x:c r="A332" s="180" t="str">
        <x:v>　　　• FCM 푸시 토큰 등록·갱신 API 및 푸시 발송 구현</x:v>
      </x:c>
      <x:c r="B332" s="185" t="n">
        <x:f>'항목별 평가'!B347</x:f>
        <x:v>4</x:v>
      </x:c>
      <x:c r="C332" s="182" t="n">
        <x:f>IFERROR(B332/B$329,0)</x:f>
        <x:v>0.26666666666666666</x:v>
      </x:c>
      <x:c r="D332" s="182" t="n">
        <x:f>C332*D$329</x:f>
        <x:v>0.0046753246753246745</x:v>
      </x:c>
      <x:c r="R332"/>
      <x:c r="S332"/>
      <x:c r="T332"/>
      <x:c r="U332"/>
    </x:row>
    <x:row r="333" ht="20" customHeight="1">
      <x:c r="A333" s="174" t="str">
        <x:v>　　　• 무효 토큰 비활성화 및 푸시 발송 결과 기록</x:v>
      </x:c>
      <x:c r="B333" s="183" t="n">
        <x:f>'항목별 평가'!B348</x:f>
        <x:v>3</x:v>
      </x:c>
      <x:c r="C333" s="176" t="n">
        <x:f>IFERROR(B333/B$329,0)</x:f>
        <x:v>0.2</x:v>
      </x:c>
      <x:c r="D333" s="176" t="n">
        <x:f>C333*D$329</x:f>
        <x:v>0.003506493506493506</x:v>
      </x:c>
      <x:c r="R333"/>
      <x:c r="S333"/>
      <x:c r="T333"/>
      <x:c r="U333"/>
    </x:row>
    <x:row r="334" ht="20" customHeight="1">
      <x:c r="A334" s="180" t="str">
        <x:v>　　　• 이벤트 ID 기준 중복 알림 방지</x:v>
      </x:c>
      <x:c r="B334" s="185" t="n">
        <x:f>'항목별 평가'!B349</x:f>
        <x:v>3</x:v>
      </x:c>
      <x:c r="C334" s="182" t="n">
        <x:f>IFERROR(B334/B$329,0)</x:f>
        <x:v>0.2</x:v>
      </x:c>
      <x:c r="D334" s="182" t="n">
        <x:f>C334*D$329</x:f>
        <x:v>0.003506493506493506</x:v>
      </x:c>
      <x:c r="R334"/>
      <x:c r="S334"/>
      <x:c r="T334"/>
      <x:c r="U334"/>
    </x:row>
    <x:row r="335" ht="22" customHeight="1">
      <x:c r="A335" s="170" t="str">
        <x:v>　　FR-NOT-01 가상 피팅 완료 알림 (준우,지현)</x:v>
      </x:c>
      <x:c r="B335" s="171" t="n">
        <x:f>SUM(B336:B337)</x:f>
        <x:v>4</x:v>
      </x:c>
      <x:c r="C335" s="172" t="n">
        <x:f>SUM(C336:C337)</x:f>
        <x:v>1</x:v>
      </x:c>
      <x:c r="D335" s="173" t="n">
        <x:f>$D$328*L87</x:f>
        <x:v>0.005844155844155843</x:v>
      </x:c>
      <x:c r="R335"/>
      <x:c r="S335"/>
      <x:c r="T335"/>
      <x:c r="U335"/>
    </x:row>
    <x:row r="336" ht="20" customHeight="1">
      <x:c r="A336" s="174" t="str">
        <x:v>　　　• 피팅 완료 이벤트 수신 및 알림 저장 (가상 피팅 서비스와 이벤트 형식 협의)</x:v>
      </x:c>
      <x:c r="B336" s="183" t="n">
        <x:f>'항목별 평가'!B178</x:f>
        <x:v>3</x:v>
      </x:c>
      <x:c r="C336" s="176" t="n">
        <x:f>IFERROR(B336/B$335,0)</x:f>
        <x:v>0.75</x:v>
      </x:c>
      <x:c r="D336" s="176" t="n">
        <x:f>C336*D$335</x:f>
        <x:v>0.004383116883116882</x:v>
      </x:c>
      <x:c r="R336"/>
      <x:c r="S336"/>
      <x:c r="T336"/>
      <x:c r="U336"/>
    </x:row>
    <x:row r="337" ht="20" customHeight="1">
      <x:c r="A337" s="180" t="str">
        <x:v>　　　• 알림에 피팅 작업 ID 연결</x:v>
      </x:c>
      <x:c r="B337" s="185" t="n">
        <x:f>'항목별 평가'!B179</x:f>
        <x:v>1</x:v>
      </x:c>
      <x:c r="C337" s="182" t="n">
        <x:f>IFERROR(B337/B$335,0)</x:f>
        <x:v>0.25</x:v>
      </x:c>
      <x:c r="D337" s="182" t="n">
        <x:f>C337*D$335</x:f>
        <x:v>0.0014610389610389607</x:v>
      </x:c>
      <x:c r="R337"/>
      <x:c r="S337"/>
      <x:c r="T337"/>
      <x:c r="U337"/>
    </x:row>
    <x:row r="338" ht="22" customHeight="1">
      <x:c r="A338" s="170" t="str">
        <x:v>　　FR-NOT-02 가상 피팅 실패 알림</x:v>
      </x:c>
      <x:c r="B338" s="171" t="n">
        <x:f>SUM(B339:B341)</x:f>
        <x:v>6</x:v>
      </x:c>
      <x:c r="C338" s="172" t="n">
        <x:f>SUM(C339:C341)</x:f>
        <x:v>0.9999999999999999</x:v>
      </x:c>
      <x:c r="D338" s="173" t="n">
        <x:f>$D$328*L88</x:f>
        <x:v>0.005844155844155843</x:v>
      </x:c>
      <x:c r="R338"/>
      <x:c r="S338"/>
      <x:c r="T338"/>
      <x:c r="U338"/>
    </x:row>
    <x:row r="339" ht="20" customHeight="1">
      <x:c r="A339" s="174" t="str">
        <x:v>　　　• 피팅 실패 이벤트 수신 및 알림 저장</x:v>
      </x:c>
      <x:c r="B339" s="183" t="n">
        <x:f>'항목별 평가'!B184</x:f>
        <x:v>3</x:v>
      </x:c>
      <x:c r="C339" s="176" t="n">
        <x:f>IFERROR(B339/B$338,0)</x:f>
        <x:v>0.5</x:v>
      </x:c>
      <x:c r="D339" s="176" t="n">
        <x:f>C339*D$338</x:f>
        <x:v>0.0029220779220779213</x:v>
      </x:c>
      <x:c r="R339"/>
      <x:c r="S339"/>
      <x:c r="T339"/>
      <x:c r="U339"/>
    </x:row>
    <x:row r="340" ht="20" customHeight="1">
      <x:c r="A340" s="180" t="str">
        <x:v>　　　• 이벤트에 포함된 실패 원인·재시도 가능 여부를 알림 내용에 반영</x:v>
      </x:c>
      <x:c r="B340" s="185" t="n">
        <x:f>'항목별 평가'!B185</x:f>
        <x:v>2</x:v>
      </x:c>
      <x:c r="C340" s="182" t="n">
        <x:f>IFERROR(B340/B$338,0)</x:f>
        <x:v>0.3333333333333333</x:v>
      </x:c>
      <x:c r="D340" s="182" t="n">
        <x:f>C340*D$338</x:f>
        <x:v>0.0019480519480519474</x:v>
      </x:c>
      <x:c r="R340"/>
      <x:c r="S340"/>
      <x:c r="T340"/>
      <x:c r="U340"/>
    </x:row>
    <x:row r="341" ht="20" customHeight="1">
      <x:c r="A341" s="174" t="str">
        <x:v>　　　• 알림에 피팅 작업 ID 연결</x:v>
      </x:c>
      <x:c r="B341" s="183" t="n">
        <x:f>'항목별 평가'!B186</x:f>
        <x:v>1</x:v>
      </x:c>
      <x:c r="C341" s="176" t="n">
        <x:f>IFERROR(B341/B$338,0)</x:f>
        <x:v>0.16666666666666666</x:v>
      </x:c>
      <x:c r="D341" s="176" t="n">
        <x:f>C341*D$338</x:f>
        <x:v>0.0009740259740259737</x:v>
      </x:c>
      <x:c r="R341"/>
      <x:c r="S341"/>
      <x:c r="T341"/>
      <x:c r="U341"/>
    </x:row>
    <x:row r="342" ht="22" customHeight="1">
      <x:c r="A342" s="170" t="str">
        <x:v>　　FR-NOT-03 내 게시글 댓글 알림</x:v>
      </x:c>
      <x:c r="B342" s="171" t="n">
        <x:f>SUM(B343:B344)</x:f>
        <x:v>4</x:v>
      </x:c>
      <x:c r="C342" s="172" t="n">
        <x:f>SUM(C343:C344)</x:f>
        <x:v>1</x:v>
      </x:c>
      <x:c r="D342" s="173" t="n">
        <x:f>$D$328*L89</x:f>
        <x:v>0.005844155844155843</x:v>
      </x:c>
      <x:c r="R342"/>
      <x:c r="S342"/>
      <x:c r="T342"/>
      <x:c r="U342"/>
    </x:row>
    <x:row r="343" ht="20" customHeight="1">
      <x:c r="A343" s="180" t="str">
        <x:v>　　　• 댓글 작성 시 게시글 작성자에게 알림 생성 (본인 게시글에 본인 댓글은 제외)</x:v>
      </x:c>
      <x:c r="B343" s="185" t="n">
        <x:f>'항목별 평가'!B191</x:f>
        <x:v>3</x:v>
      </x:c>
      <x:c r="C343" s="182" t="n">
        <x:f>IFERROR(B343/B$342,0)</x:f>
        <x:v>0.75</x:v>
      </x:c>
      <x:c r="D343" s="182" t="n">
        <x:f>C343*D$342</x:f>
        <x:v>0.004383116883116882</x:v>
      </x:c>
      <x:c r="R343"/>
      <x:c r="S343"/>
      <x:c r="T343"/>
      <x:c r="U343"/>
    </x:row>
    <x:row r="344" ht="20" customHeight="1">
      <x:c r="A344" s="174" t="str">
        <x:v>　　　• 알림에 게시글 ID 연결</x:v>
      </x:c>
      <x:c r="B344" s="183" t="n">
        <x:f>'항목별 평가'!B192</x:f>
        <x:v>1</x:v>
      </x:c>
      <x:c r="C344" s="176" t="n">
        <x:f>IFERROR(B344/B$342,0)</x:f>
        <x:v>0.25</x:v>
      </x:c>
      <x:c r="D344" s="176" t="n">
        <x:f>C344*D$342</x:f>
        <x:v>0.0014610389610389607</x:v>
      </x:c>
      <x:c r="R344"/>
      <x:c r="S344"/>
      <x:c r="T344"/>
      <x:c r="U344"/>
    </x:row>
    <x:row r="345" ht="22" customHeight="1">
      <x:c r="A345" s="170" t="str">
        <x:v>　　FR-NOT-04 내 게시글 투표 마감 알림</x:v>
      </x:c>
      <x:c r="B345" s="171" t="n">
        <x:f>SUM(B346:B348)</x:f>
        <x:v>7</x:v>
      </x:c>
      <x:c r="C345" s="172" t="n">
        <x:f>SUM(C346:C348)</x:f>
        <x:v>1</x:v>
      </x:c>
      <x:c r="D345" s="173" t="n">
        <x:f>$D$328*L90</x:f>
        <x:v>0.005844155844155843</x:v>
      </x:c>
      <x:c r="R345"/>
      <x:c r="S345"/>
      <x:c r="T345"/>
      <x:c r="U345"/>
    </x:row>
    <x:row r="346" ht="20" customHeight="1">
      <x:c r="A346" s="180" t="str">
        <x:v>　　　• 마감 시각이 지난 투표 게시글 감지 스케줄러 구현</x:v>
      </x:c>
      <x:c r="B346" s="185" t="n">
        <x:f>'항목별 평가'!B197</x:f>
        <x:v>3</x:v>
      </x:c>
      <x:c r="C346" s="182" t="n">
        <x:f>IFERROR(B346/B$345,0)</x:f>
        <x:v>0.42857142857142855</x:v>
      </x:c>
      <x:c r="D346" s="182" t="n">
        <x:f>C346*D$345</x:f>
        <x:v>0.0025046382189239324</x:v>
      </x:c>
      <x:c r="R346"/>
      <x:c r="S346"/>
      <x:c r="T346"/>
      <x:c r="U346"/>
    </x:row>
    <x:row r="347" ht="20" customHeight="1">
      <x:c r="A347" s="174" t="str">
        <x:v>　　　• 투표 마감 상태 갱신 및 게시글 작성자에게 알림 생성</x:v>
      </x:c>
      <x:c r="B347" s="183" t="n">
        <x:f>'항목별 평가'!B198</x:f>
        <x:v>3</x:v>
      </x:c>
      <x:c r="C347" s="176" t="n">
        <x:f>IFERROR(B347/B$345,0)</x:f>
        <x:v>0.42857142857142855</x:v>
      </x:c>
      <x:c r="D347" s="176" t="n">
        <x:f>C347*D$345</x:f>
        <x:v>0.0025046382189239324</x:v>
      </x:c>
      <x:c r="R347"/>
      <x:c r="S347"/>
      <x:c r="T347"/>
      <x:c r="U347"/>
    </x:row>
    <x:row r="348" ht="20" customHeight="1">
      <x:c r="A348" s="180" t="str">
        <x:v>　　　• 알림에 게시글 ID 연결</x:v>
      </x:c>
      <x:c r="B348" s="185" t="n">
        <x:f>'항목별 평가'!B199</x:f>
        <x:v>1</x:v>
      </x:c>
      <x:c r="C348" s="182" t="n">
        <x:f>IFERROR(B348/B$345,0)</x:f>
        <x:v>0.14285714285714285</x:v>
      </x:c>
      <x:c r="D348" s="182" t="n">
        <x:f>C348*D$345</x:f>
        <x:v>0.0008348794063079775</x:v>
      </x:c>
      <x:c r="R348"/>
      <x:c r="S348"/>
      <x:c r="T348"/>
      <x:c r="U348"/>
    </x:row>
    <x:row r="349" ht="20" customHeight="1">
      <x:c r="A349" s="121"/>
      <x:c r="B349" s="141"/>
      <x:c r="C349" s="126"/>
      <x:c r="D349" s="126"/>
      <x:c r="R349"/>
      <x:c r="S349"/>
      <x:c r="T349"/>
      <x:c r="U349"/>
    </x:row>
    <x:row r="350" ht="27" customHeight="1">
      <x:c r="A350" s="199" t="str">
        <x:v>클라우드</x:v>
      </x:c>
      <x:c r="B350" s="200"/>
      <x:c r="C350" s="201"/>
      <x:c r="D350" s="201" t="n">
        <x:f>SUM(D352,D357,D363,D369,D372)</x:f>
        <x:v>0.1</x:v>
      </x:c>
      <x:c r="R350"/>
      <x:c r="S350"/>
      <x:c r="T350"/>
      <x:c r="U350"/>
    </x:row>
    <x:row r="351" ht="20" customHeight="1">
      <x:c r="A351" s="90" t="str">
        <x:v>항목</x:v>
      </x:c>
      <x:c r="B351" s="143" t="str">
        <x:v>점수</x:v>
      </x:c>
      <x:c r="C351" s="149" t="str">
        <x:v>비율</x:v>
      </x:c>
      <x:c r="D351" s="149" t="str">
        <x:v>전체 기여도</x:v>
      </x:c>
      <x:c r="R351"/>
      <x:c r="S351"/>
      <x:c r="T351"/>
      <x:c r="U351"/>
    </x:row>
    <x:row r="352" ht="24" customHeight="1">
      <x:c r="A352" s="203" t="str">
        <x:v>　AWS 환경·보안 설정 (나연)</x:v>
      </x:c>
      <x:c r="B352" s="163" t="n">
        <x:f>SUM(B353:B356)</x:f>
        <x:v>11</x:v>
      </x:c>
      <x:c r="C352" s="164" t="n">
        <x:f>IFERROR(B352/$B$377,0)</x:f>
        <x:v>0.1774193548387097</x:v>
      </x:c>
      <x:c r="D352" s="164" t="n">
        <x:f>C352*$P$8</x:f>
        <x:v>0.017741935483870968</x:v>
      </x:c>
      <x:c r="R352"/>
      <x:c r="S352"/>
      <x:c r="T352"/>
      <x:c r="U352"/>
    </x:row>
    <x:row r="353" ht="20" customHeight="1">
      <x:c r="A353" s="204" t="str">
        <x:v>　　　• 개발 환경과 운영 환경, 기본 AWS 리소스 구성</x:v>
      </x:c>
      <x:c r="B353" s="205" t="n">
        <x:f>'항목별 평가'!B353</x:f>
        <x:v>2</x:v>
      </x:c>
      <x:c r="C353" s="206" t="n">
        <x:f>IFERROR(B353/B$352,0)</x:f>
        <x:v>0.18181818181818182</x:v>
      </x:c>
      <x:c r="D353" s="206" t="n">
        <x:f>C353*D$352</x:f>
        <x:v>0.0032258064516129032</x:v>
      </x:c>
      <x:c r="R353"/>
      <x:c r="S353"/>
      <x:c r="T353"/>
      <x:c r="U353"/>
    </x:row>
    <x:row r="354" ht="20" customHeight="1">
      <x:c r="A354" s="210" t="str">
        <x:v>　　　• VPC·서브넷·보안 그룹 설정: 외부 서비스와 내부 DB·캐시 접근 분리</x:v>
      </x:c>
      <x:c r="B354" s="211" t="n">
        <x:f>'항목별 평가'!B354</x:f>
        <x:v>4</x:v>
      </x:c>
      <x:c r="C354" s="212" t="n">
        <x:f>IFERROR(B354/B$352,0)</x:f>
        <x:v>0.36363636363636365</x:v>
      </x:c>
      <x:c r="D354" s="212" t="n">
        <x:f>C354*D$352</x:f>
        <x:v>0.0064516129032258064</x:v>
      </x:c>
      <x:c r="R354"/>
      <x:c r="S354"/>
      <x:c r="T354"/>
      <x:c r="U354"/>
    </x:row>
    <x:row r="355" ht="20" customHeight="1">
      <x:c r="A355" s="204" t="str">
        <x:v>　　　• IAM 역할·정책 설정: 서비스별 AWS 리소스 접근 권한 구성</x:v>
      </x:c>
      <x:c r="B355" s="205" t="n">
        <x:f>'항목별 평가'!B355</x:f>
        <x:v>3</x:v>
      </x:c>
      <x:c r="C355" s="206" t="n">
        <x:f>IFERROR(B355/B$352,0)</x:f>
        <x:v>0.2727272727272727</x:v>
      </x:c>
      <x:c r="D355" s="206" t="n">
        <x:f>C355*D$352</x:f>
        <x:v>0.004838709677419354</x:v>
      </x:c>
      <x:c r="R355"/>
      <x:c r="S355"/>
      <x:c r="T355"/>
      <x:c r="U355"/>
    </x:row>
    <x:row r="356" ht="20" customHeight="1">
      <x:c r="A356" s="210" t="str">
        <x:v>　　　• 시크릿·환경 변수 관리: DB 비밀번호, JWT 키, 외부 API 키 등</x:v>
      </x:c>
      <x:c r="B356" s="211" t="n">
        <x:f>'항목별 평가'!B356</x:f>
        <x:v>2</x:v>
      </x:c>
      <x:c r="C356" s="212" t="n">
        <x:f>IFERROR(B356/B$352,0)</x:f>
        <x:v>0.18181818181818182</x:v>
      </x:c>
      <x:c r="D356" s="212" t="n">
        <x:f>C356*D$352</x:f>
        <x:v>0.0032258064516129032</x:v>
      </x:c>
      <x:c r="R356"/>
      <x:c r="S356"/>
      <x:c r="T356"/>
      <x:c r="U356"/>
    </x:row>
    <x:row r="357" ht="24" customHeight="1">
      <x:c r="A357" s="203" t="str">
        <x:v>　컨테이너 배포·CI/CD (나연)</x:v>
      </x:c>
      <x:c r="B357" s="163" t="n">
        <x:f>SUM(B358:B362)</x:f>
        <x:v>17</x:v>
      </x:c>
      <x:c r="C357" s="164" t="n">
        <x:f>IFERROR(B357/$B$377,0)</x:f>
        <x:v>0.27419354838709675</x:v>
      </x:c>
      <x:c r="D357" s="164" t="n">
        <x:f>C357*$P$8</x:f>
        <x:v>0.027419354838709678</x:v>
      </x:c>
      <x:c r="R357"/>
      <x:c r="S357"/>
      <x:c r="T357"/>
      <x:c r="U357"/>
    </x:row>
    <x:row r="358" ht="20" customHeight="1">
      <x:c r="A358" s="204" t="str">
        <x:v>　　　• Spring 백엔드 서비스 Docker 이미지 구성</x:v>
      </x:c>
      <x:c r="B358" s="205" t="n">
        <x:f>'항목별 평가'!B358</x:f>
        <x:v>3</x:v>
      </x:c>
      <x:c r="C358" s="206" t="n">
        <x:f>IFERROR(B358/B$357,0)</x:f>
        <x:v>0.17647058823529413</x:v>
      </x:c>
      <x:c r="D358" s="206" t="n">
        <x:f>C358*D$357</x:f>
        <x:v>0.004838709677419355</x:v>
      </x:c>
      <x:c r="R358"/>
      <x:c r="S358"/>
      <x:c r="T358"/>
      <x:c r="U358"/>
    </x:row>
    <x:row r="359" ht="20" customHeight="1">
      <x:c r="A359" s="210" t="str">
        <x:v>　　　• FastAPI 추천·가상 피팅 서비스와 비동기 작업자 Docker 이미지 구성</x:v>
      </x:c>
      <x:c r="B359" s="211" t="n">
        <x:f>'항목별 평가'!B359</x:f>
        <x:v>3</x:v>
      </x:c>
      <x:c r="C359" s="212" t="n">
        <x:f>IFERROR(B359/B$357,0)</x:f>
        <x:v>0.17647058823529413</x:v>
      </x:c>
      <x:c r="D359" s="212" t="n">
        <x:f>C359*D$357</x:f>
        <x:v>0.004838709677419355</x:v>
      </x:c>
      <x:c r="R359"/>
      <x:c r="S359"/>
      <x:c r="T359"/>
      <x:c r="U359"/>
    </x:row>
    <x:row r="360" ht="20" customHeight="1">
      <x:c r="A360" s="204" t="str">
        <x:v>　　　• AWS 배포 대상과 서비스 간 네트워크·통신 설정</x:v>
      </x:c>
      <x:c r="B360" s="205" t="n">
        <x:f>'항목별 평가'!B360</x:f>
        <x:v>4</x:v>
      </x:c>
      <x:c r="C360" s="206" t="n">
        <x:f>IFERROR(B360/B$357,0)</x:f>
        <x:v>0.23529411764705882</x:v>
      </x:c>
      <x:c r="D360" s="206" t="n">
        <x:f>C360*D$357</x:f>
        <x:v>0.0064516129032258064</x:v>
      </x:c>
      <x:c r="R360"/>
      <x:c r="S360"/>
      <x:c r="T360"/>
      <x:c r="U360"/>
    </x:row>
    <x:row r="361" ht="20" customHeight="1">
      <x:c r="A361" s="210" t="str">
        <x:v>　　　• GitHub Actions 빌드·배포 파이프라인 구성</x:v>
      </x:c>
      <x:c r="B361" s="211" t="n">
        <x:f>'항목별 평가'!B361</x:f>
        <x:v>4</x:v>
      </x:c>
      <x:c r="C361" s="212" t="n">
        <x:f>IFERROR(B361/B$357,0)</x:f>
        <x:v>0.23529411764705882</x:v>
      </x:c>
      <x:c r="D361" s="212" t="n">
        <x:f>C361*D$357</x:f>
        <x:v>0.0064516129032258064</x:v>
      </x:c>
      <x:c r="R361"/>
      <x:c r="S361"/>
      <x:c r="T361"/>
      <x:c r="U361"/>
    </x:row>
    <x:row r="362" ht="20" customHeight="1">
      <x:c r="A362" s="204" t="str">
        <x:v>　　　• Spring Cloud Gateway 외부 접속, 도메인·HTTPS 인증서 설정</x:v>
      </x:c>
      <x:c r="B362" s="205" t="n">
        <x:f>'항목별 평가'!B362</x:f>
        <x:v>3</x:v>
      </x:c>
      <x:c r="C362" s="206" t="n">
        <x:f>IFERROR(B362/B$357,0)</x:f>
        <x:v>0.17647058823529413</x:v>
      </x:c>
      <x:c r="D362" s="206" t="n">
        <x:f>C362*D$357</x:f>
        <x:v>0.004838709677419355</x:v>
      </x:c>
      <x:c r="R362"/>
      <x:c r="S362"/>
      <x:c r="T362"/>
      <x:c r="U362"/>
    </x:row>
    <x:row r="363" ht="24" customHeight="1">
      <x:c r="A363" s="203" t="str">
        <x:v>　데이터·파일·메시지 인프라 (나연)</x:v>
      </x:c>
      <x:c r="B363" s="163" t="n">
        <x:f>SUM(B364:B368)</x:f>
        <x:v>16</x:v>
      </x:c>
      <x:c r="C363" s="164" t="n">
        <x:f>IFERROR(B363/$B$377,0)</x:f>
        <x:v>0.25806451612903225</x:v>
      </x:c>
      <x:c r="D363" s="164" t="n">
        <x:f>C363*$P$8</x:f>
        <x:v>0.025806451612903226</x:v>
      </x:c>
      <x:c r="R363"/>
      <x:c r="S363"/>
      <x:c r="T363"/>
      <x:c r="U363"/>
    </x:row>
    <x:row r="364" ht="20" customHeight="1">
      <x:c r="A364" s="210" t="str">
        <x:v>　　　• PostgreSQL AWS 인스턴스 구성, 네트워크 연결 및 백업 설정</x:v>
      </x:c>
      <x:c r="B364" s="211" t="n">
        <x:f>'항목별 평가'!B364</x:f>
        <x:v>4</x:v>
      </x:c>
      <x:c r="C364" s="212" t="n">
        <x:f>IFERROR(B364/B$363,0)</x:f>
        <x:v>0.25</x:v>
      </x:c>
      <x:c r="D364" s="212" t="n">
        <x:f>C364*D$363</x:f>
        <x:v>0.0064516129032258064</x:v>
      </x:c>
      <x:c r="R364"/>
      <x:c r="S364"/>
      <x:c r="T364"/>
      <x:c r="U364"/>
    </x:row>
    <x:row r="365" ht="20" customHeight="1">
      <x:c r="A365" s="204" t="str">
        <x:v>　　　• Redis 배포 및 서비스 연결 설정</x:v>
      </x:c>
      <x:c r="B365" s="205" t="n">
        <x:f>'항목별 평가'!B365</x:f>
        <x:v>3</x:v>
      </x:c>
      <x:c r="C365" s="206" t="n">
        <x:f>IFERROR(B365/B$363,0)</x:f>
        <x:v>0.1875</x:v>
      </x:c>
      <x:c r="D365" s="206" t="n">
        <x:f>C365*D$363</x:f>
        <x:v>0.004838709677419355</x:v>
      </x:c>
      <x:c r="R365"/>
      <x:c r="S365"/>
      <x:c r="T365"/>
      <x:c r="U365"/>
    </x:row>
    <x:row r="366" ht="20" customHeight="1">
      <x:c r="A366" s="210" t="str">
        <x:v>　　　• S3 버킷 구성: 상품·커뮤니티·가상 피팅 이미지 저장 및 접근 권한 설정</x:v>
      </x:c>
      <x:c r="B366" s="211" t="n">
        <x:f>'항목별 평가'!B366</x:f>
        <x:v>4</x:v>
      </x:c>
      <x:c r="C366" s="212" t="n">
        <x:f>IFERROR(B366/B$363,0)</x:f>
        <x:v>0.25</x:v>
      </x:c>
      <x:c r="D366" s="212" t="n">
        <x:f>C366*D$363</x:f>
        <x:v>0.0064516129032258064</x:v>
      </x:c>
      <x:c r="R366"/>
      <x:c r="S366"/>
      <x:c r="T366"/>
      <x:c r="U366"/>
    </x:row>
    <x:row r="367" ht="20" customHeight="1">
      <x:c r="A367" s="204" t="str">
        <x:v>　　　• SQS 작업 큐 구성: 비동기 처리, 재시도 및 실패 메시지 큐 설정</x:v>
      </x:c>
      <x:c r="B367" s="205" t="n">
        <x:f>'항목별 평가'!B367</x:f>
        <x:v>3</x:v>
      </x:c>
      <x:c r="C367" s="206" t="n">
        <x:f>IFERROR(B367/B$363,0)</x:f>
        <x:v>0.1875</x:v>
      </x:c>
      <x:c r="D367" s="206" t="n">
        <x:f>C367*D$363</x:f>
        <x:v>0.004838709677419355</x:v>
      </x:c>
      <x:c r="R367"/>
      <x:c r="S367"/>
      <x:c r="T367"/>
      <x:c r="U367"/>
    </x:row>
    <x:row r="368" ht="20" customHeight="1">
      <x:c r="A368" s="210" t="str">
        <x:v>　　　• 백엔드·AI 서비스별 S3·SQS 접근 권한 연결 및 확인</x:v>
      </x:c>
      <x:c r="B368" s="211" t="n">
        <x:f>'항목별 평가'!B368</x:f>
        <x:v>2</x:v>
      </x:c>
      <x:c r="C368" s="212" t="n">
        <x:f>IFERROR(B368/B$363,0)</x:f>
        <x:v>0.125</x:v>
      </x:c>
      <x:c r="D368" s="212" t="n">
        <x:f>C368*D$363</x:f>
        <x:v>0.0032258064516129032</x:v>
      </x:c>
      <x:c r="R368"/>
      <x:c r="S368"/>
      <x:c r="T368"/>
      <x:c r="U368"/>
    </x:row>
    <x:row r="369" ht="24" customHeight="1">
      <x:c r="A369" s="203" t="str">
        <x:v>　AI 검색 인프라 (나연)</x:v>
      </x:c>
      <x:c r="B369" s="163" t="n">
        <x:f>SUM(B370:B371)</x:f>
        <x:v>7</x:v>
      </x:c>
      <x:c r="C369" s="164" t="n">
        <x:f>IFERROR(B369/$B$377,0)</x:f>
        <x:v>0.11290322580645161</x:v>
      </x:c>
      <x:c r="D369" s="164" t="n">
        <x:f>C369*$P$8</x:f>
        <x:v>0.011290322580645162</x:v>
      </x:c>
      <x:c r="R369"/>
      <x:c r="S369"/>
      <x:c r="T369"/>
      <x:c r="U369"/>
    </x:row>
    <x:row r="370" ht="20" customHeight="1">
      <x:c r="A370" s="204" t="str">
        <x:v>　　　• Qdrant 배포, 영속 저장 공간 및 내부 접근 설정</x:v>
      </x:c>
      <x:c r="B370" s="205" t="n">
        <x:f>'항목별 평가'!B370</x:f>
        <x:v>4</x:v>
      </x:c>
      <x:c r="C370" s="206" t="n">
        <x:f>IFERROR(B370/B$369,0)</x:f>
        <x:v>0.5714285714285714</x:v>
      </x:c>
      <x:c r="D370" s="206" t="n">
        <x:f>C370*D$369</x:f>
        <x:v>0.0064516129032258064</x:v>
      </x:c>
      <x:c r="R370"/>
      <x:c r="S370"/>
      <x:c r="T370"/>
      <x:c r="U370"/>
    </x:row>
    <x:row r="371" ht="20" customHeight="1">
      <x:c r="A371" s="210" t="str">
        <x:v>　　　• AI 서비스와 Qdrant·S3·SQS 연결 설정 및 동작 확인</x:v>
      </x:c>
      <x:c r="B371" s="211" t="n">
        <x:f>'항목별 평가'!B371</x:f>
        <x:v>3</x:v>
      </x:c>
      <x:c r="C371" s="212" t="n">
        <x:f>IFERROR(B371/B$369,0)</x:f>
        <x:v>0.42857142857142855</x:v>
      </x:c>
      <x:c r="D371" s="212" t="n">
        <x:f>C371*D$369</x:f>
        <x:v>0.004838709677419355</x:v>
      </x:c>
      <x:c r="R371"/>
      <x:c r="S371"/>
      <x:c r="T371"/>
      <x:c r="U371"/>
    </x:row>
    <x:row r="372" ht="24" customHeight="1">
      <x:c r="A372" s="203" t="str">
        <x:v>　로그·모니터링·운영 점검 (나연)</x:v>
      </x:c>
      <x:c r="B372" s="163" t="n">
        <x:f>SUM(B373:B376)</x:f>
        <x:v>11</x:v>
      </x:c>
      <x:c r="C372" s="164" t="n">
        <x:f>IFERROR(B372/$B$377,0)</x:f>
        <x:v>0.1774193548387097</x:v>
      </x:c>
      <x:c r="D372" s="164" t="n">
        <x:f>C372*$P$8</x:f>
        <x:v>0.017741935483870968</x:v>
      </x:c>
      <x:c r="R372"/>
      <x:c r="S372"/>
      <x:c r="T372"/>
      <x:c r="U372"/>
    </x:row>
    <x:row r="373" ht="20" customHeight="1">
      <x:c r="A373" s="204" t="str">
        <x:v>　　　• 서비스 로그·기본 지표 수집 및 보존 설정</x:v>
      </x:c>
      <x:c r="B373" s="205" t="n">
        <x:f>'항목별 평가'!B373</x:f>
        <x:v>3</x:v>
      </x:c>
      <x:c r="C373" s="206" t="n">
        <x:f>IFERROR(B373/B$372,0)</x:f>
        <x:v>0.2727272727272727</x:v>
      </x:c>
      <x:c r="D373" s="206" t="n">
        <x:f>C373*D$372</x:f>
        <x:v>0.004838709677419354</x:v>
      </x:c>
      <x:c r="R373"/>
      <x:c r="S373"/>
      <x:c r="T373"/>
      <x:c r="U373"/>
    </x:row>
    <x:row r="374" ht="20" customHeight="1">
      <x:c r="A374" s="210" t="str">
        <x:v>　　　• Grafana 데이터 소스 연결 및 서비스 상태 대시보드 구성</x:v>
      </x:c>
      <x:c r="B374" s="211" t="n">
        <x:f>'항목별 평가'!B374</x:f>
        <x:v>3</x:v>
      </x:c>
      <x:c r="C374" s="212" t="n">
        <x:f>IFERROR(B374/B$372,0)</x:f>
        <x:v>0.2727272727272727</x:v>
      </x:c>
      <x:c r="D374" s="212" t="n">
        <x:f>C374*D$372</x:f>
        <x:v>0.004838709677419354</x:v>
      </x:c>
    </x:row>
    <x:row r="375" ht="20" customHeight="1">
      <x:c r="A375" s="204" t="str">
        <x:v>　　　• 서비스 오류·작업 큐 적체 등 주요 상황의 알림 설정</x:v>
      </x:c>
      <x:c r="B375" s="205" t="n">
        <x:f>'항목별 평가'!B375</x:f>
        <x:v>2</x:v>
      </x:c>
      <x:c r="C375" s="206" t="n">
        <x:f>IFERROR(B375/B$372,0)</x:f>
        <x:v>0.18181818181818182</x:v>
      </x:c>
      <x:c r="D375" s="206" t="n">
        <x:f>C375*D$372</x:f>
        <x:v>0.0032258064516129032</x:v>
      </x:c>
    </x:row>
    <x:row r="376" ht="20" customHeight="1">
      <x:c r="A376" s="210" t="str">
        <x:v>　　　• 배포 후 주요 기능 점검 및 기본 운영·장애 대응 절차 정리</x:v>
      </x:c>
      <x:c r="B376" s="211" t="n">
        <x:f>'항목별 평가'!B376</x:f>
        <x:v>3</x:v>
      </x:c>
      <x:c r="C376" s="212" t="n">
        <x:f>IFERROR(B376/B$372,0)</x:f>
        <x:v>0.2727272727272727</x:v>
      </x:c>
      <x:c r="D376" s="212" t="n">
        <x:f>C376*D$372</x:f>
        <x:v>0.004838709677419354</x:v>
      </x:c>
    </x:row>
    <x:row r="377" ht="20" customHeight="1">
      <x:c r="A377" s="130" t="str">
        <x:v>Cloud 총점</x:v>
      </x:c>
      <x:c r="B377" s="144" t="n">
        <x:f>SUM(B352,B357,B363,B369,B372)</x:f>
        <x:v>62</x:v>
      </x:c>
      <x:c r="C377" s="133" t="n">
        <x:f>SUM(C352,C357,C363,C369,C372)</x:f>
        <x:v>1</x:v>
      </x:c>
      <x:c r="D377" s="133" t="n">
        <x:f>SUM(D352,D357,D363,D369,D372)</x:f>
        <x:v>0.1</x:v>
      </x:c>
    </x:row>
  </x:sheetData>
  <x:mergeCells>
    <x:mergeCell ref="G32:G36"/>
    <x:mergeCell ref="H30:H31"/>
    <x:mergeCell ref="H38:L38"/>
    <x:mergeCell ref="H39:H40"/>
    <x:mergeCell ref="H49:L49"/>
    <x:mergeCell ref="H75:L75"/>
    <x:mergeCell ref="H76:H77"/>
    <x:mergeCell ref="H84:L84"/>
    <x:mergeCell ref="H85:H86"/>
    <x:mergeCell ref="H29:L29"/>
    <x:mergeCell ref="H50:H51"/>
    <x:mergeCell ref="H57:L57"/>
    <x:mergeCell ref="H58:H59"/>
    <x:mergeCell ref="H68:L68"/>
    <x:mergeCell ref="H69:H7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4.399999618530273"/>
  <x:cols>
    <x:col min="1" max="1" width="68" style="33" hidden="0" customWidth="1"/>
    <x:col min="2" max="4" width="12" style="33" customWidth="1"/>
    <x:col min="5" max="5" width="16" style="33" hidden="0" customWidth="1"/>
    <x:col min="6" max="6" width="16" style="33" hidden="0" customWidth="1"/>
    <x:col min="7" max="7" width="58" style="33" hidden="0" customWidth="1"/>
    <x:col min="8" max="8" width="46" style="33" hidden="0" customWidth="1"/>
    <x:col min="9" max="16384" width="8.88671875" style="33" customWidth="0"/>
    <x:col min="2" max="2" width="13" hidden="0" customWidth="1"/>
    <x:col min="3" max="3" width="13" hidden="0" customWidth="1"/>
    <x:col min="4" max="4" width="13" hidden="0" customWidth="1"/>
  </x:cols>
  <x:sheetData>
    <x:row r="1">
      <x:c r="A1" s="34"/>
      <x:c r="B1" s="34"/>
      <x:c r="C1" s="34"/>
      <x:c r="D1" s="34"/>
      <x:c r="E1" s="34"/>
      <x:c r="F1" s="34"/>
      <x:c r="G1" s="34"/>
      <x:c r="H1" s="34"/>
    </x:row>
    <x:row r="2" ht="32" customHeight="1">
      <x:c r="A2" s="280" t="s">
        <x:v>214</x:v>
      </x:c>
      <x:c r="B2" s="101"/>
      <x:c r="C2" s="101"/>
      <x:c r="D2" s="101"/>
      <x:c r="E2" s="101"/>
      <x:c r="F2" s="101"/>
      <x:c r="G2" s="101"/>
      <x:c r="H2" s="101"/>
    </x:row>
    <x:row r="3">
      <x:c r="A3" s="281" t="s">
        <x:v>215</x:v>
      </x:c>
      <x:c r="B3" s="281"/>
      <x:c r="C3" s="281"/>
      <x:c r="D3" s="281"/>
      <x:c r="E3" s="281"/>
      <x:c r="F3" s="281"/>
      <x:c r="G3" s="281"/>
      <x:c r="H3" s="281"/>
    </x:row>
    <x:row r="4">
      <x:c r="A4" s="281" t="s">
        <x:v>216</x:v>
      </x:c>
      <x:c r="B4" s="281"/>
      <x:c r="C4" s="281"/>
      <x:c r="D4" s="281"/>
      <x:c r="E4" s="281"/>
      <x:c r="F4" s="281"/>
      <x:c r="G4" s="281"/>
      <x:c r="H4" s="281"/>
    </x:row>
    <x:row r="5">
      <x:c r="A5" s="101"/>
      <x:c r="B5" s="101"/>
      <x:c r="C5" s="101"/>
      <x:c r="D5" s="101"/>
      <x:c r="E5" s="101"/>
      <x:c r="F5" s="101"/>
      <x:c r="G5" s="101"/>
      <x:c r="H5" s="101"/>
    </x:row>
    <x:row r="6" ht="28" customHeight="1">
      <x:c r="A6" s="283" t="s">
        <x:v>217</x:v>
      </x:c>
      <x:c r="B6" s="283" t="s">
        <x:v>218</x:v>
      </x:c>
      <x:c r="C6" s="283" t="s">
        <x:v>219</x:v>
      </x:c>
      <x:c r="D6" s="283" t="s">
        <x:v>220</x:v>
      </x:c>
      <x:c r="E6" s="283" t="s">
        <x:v>221</x:v>
      </x:c>
      <x:c r="F6" s="283" t="s">
        <x:v>222</x:v>
      </x:c>
      <x:c r="G6" s="283" t="s">
        <x:v>223</x:v>
      </x:c>
      <x:c r="H6" s="283" t="s">
        <x:v>224</x:v>
      </x:c>
    </x:row>
    <x:row r="7" ht="25" customHeight="1">
      <x:c r="A7" s="286" t="s">
        <x:v>1</x:v>
      </x:c>
      <x:c r="B7" s="287" t="n">
        <x:f>SUM(B10,B11,B12,B13,B14,B15,B17,B18,B19,B20,B22,B23,B24,B25,B26,B28,B29,B30,B31,B32,B35,B36,B37,B38,B39,B41,B42,B43,B44,B46,B47,B48,B49,B50,B52,B53,B54,B55,B56,B58,B59,B60,B61,B62,B64,B65,B66,B67,B70,B71,B72,B73,B75,B76,B77,B78,B80,B81,B82,B83,B84,B85,B86,B89,B90,B91,B92,B93,B95,B96,B97,B98,B99,B100,B101,B102,B104,B105,B106,B107,B109,B110,B111,B112,B114,B115,B116,B117,B118,B119,B120,B121,B123,B124,B125,B126,B127,B128,B129,B130,B131,B132,B133,B134,B135,B136,B139,B140,B141,B142,B143,B144,B145,B146,B148,B149,B150,B151,B154,B155,B156,B158,B159,B160,B161,B163,B164,B165,B166,B168,B169,B170,B171,B172,B175,B176,B177,B178,B179,B181,B182,B183,B184,B185,B186,B188,B189,B190,B191,B192,B194,B195,B196,B197,B198,B199)</x:f>
        <x:v>319</x:v>
      </x:c>
      <x:c r="C7" s="287"/>
      <x:c r="D7" s="287"/>
      <x:c r="E7" s="286"/>
      <x:c r="F7" s="286"/>
      <x:c r="G7" s="286"/>
      <x:c r="H7" s="286"/>
    </x:row>
    <x:row r="8" ht="28.049999237060547" customHeight="1">
      <x:c r="A8" s="265" t="s">
        <x:v>225</x:v>
      </x:c>
      <x:c r="B8" s="266" t="n">
        <x:f>SUM(B10,B11,B12,B13,B14,B15,B17,B18,B19,B20,B22,B23,B24,B25,B26,B28,B29,B30,B31,B32)</x:f>
        <x:v>39</x:v>
      </x:c>
      <x:c r="C8" s="266"/>
      <x:c r="D8" s="266"/>
      <x:c r="E8" s="265"/>
      <x:c r="F8" s="265"/>
      <x:c r="G8" s="265"/>
      <x:c r="H8" s="265"/>
    </x:row>
    <x:row r="9" ht="28.049999237060547" customHeight="1">
      <x:c r="A9" s="267" t="s">
        <x:v>226</x:v>
      </x:c>
      <x:c r="B9" s="268" t="n">
        <x:f>SUM(B10,B11,B12,B13,B14,B15)</x:f>
        <x:v>12</x:v>
      </x:c>
      <x:c r="C9" s="268"/>
      <x:c r="D9" s="268"/>
      <x:c r="E9" s="267"/>
      <x:c r="F9" s="267"/>
      <x:c r="G9" s="267"/>
      <x:c r="H9" s="267"/>
    </x:row>
    <x:row r="10" ht="48" customHeight="1">
      <x:c r="A10" s="269" t="s">
        <x:v>227</x:v>
      </x:c>
      <x:c r="B10" s="102" t="n">
        <x:f>MAX(C10:D10)</x:f>
        <x:v>2</x:v>
      </x:c>
      <x:c r="C10" s="102">
        <x:v>2</x:v>
      </x:c>
      <x:c r="D10" s="102">
        <x:v>1</x:v>
      </x:c>
      <x:c r="E10" s="269" t="s">
        <x:v>228</x:v>
      </x:c>
      <x:c r="F10" s="269">
        <x:v>1</x:v>
      </x:c>
      <x:c r="G10" s="269" t="s">
        <x:v>229</x:v>
      </x:c>
      <x:c r="H10" s="269"/>
    </x:row>
    <x:row r="11" ht="48" customHeight="1">
      <x:c r="A11" s="269" t="s">
        <x:v>230</x:v>
      </x:c>
      <x:c r="B11" s="102" t="n">
        <x:f>MAX(C11:D11)</x:f>
        <x:v>1</x:v>
      </x:c>
      <x:c r="C11" s="102">
        <x:v>1</x:v>
      </x:c>
      <x:c r="D11" s="102">
        <x:v>1</x:v>
      </x:c>
      <x:c r="E11" s="269" t="s">
        <x:v>231</x:v>
      </x:c>
      <x:c r="F11" s="269">
        <x:v>1</x:v>
      </x:c>
      <x:c r="G11" s="269" t="s">
        <x:v>229</x:v>
      </x:c>
      <x:c r="H11" s="269"/>
    </x:row>
    <x:row r="12" ht="48" customHeight="1">
      <x:c r="A12" s="269" t="s">
        <x:v>232</x:v>
      </x:c>
      <x:c r="B12" s="102" t="n">
        <x:f>MAX(C12:D12)</x:f>
        <x:v>2</x:v>
      </x:c>
      <x:c r="C12" s="102">
        <x:v>2</x:v>
      </x:c>
      <x:c r="D12" s="102">
        <x:v>2</x:v>
      </x:c>
      <x:c r="E12" s="269" t="s">
        <x:v>228</x:v>
      </x:c>
      <x:c r="F12" s="269">
        <x:v>2</x:v>
      </x:c>
      <x:c r="G12" s="269" t="s">
        <x:v>233</x:v>
      </x:c>
      <x:c r="H12" s="269"/>
    </x:row>
    <x:row r="13" ht="48" customHeight="1">
      <x:c r="A13" s="269" t="s">
        <x:v>234</x:v>
      </x:c>
      <x:c r="B13" s="102" t="n">
        <x:f>MAX(C13:D13)</x:f>
        <x:v>2</x:v>
      </x:c>
      <x:c r="C13" s="102">
        <x:v>2</x:v>
      </x:c>
      <x:c r="D13" s="102">
        <x:v>2</x:v>
      </x:c>
      <x:c r="E13" s="269" t="s">
        <x:v>228</x:v>
      </x:c>
      <x:c r="F13" s="269">
        <x:v>2</x:v>
      </x:c>
      <x:c r="G13" s="269" t="s">
        <x:v>235</x:v>
      </x:c>
      <x:c r="H13" s="269"/>
    </x:row>
    <x:row r="14" ht="48" customHeight="1">
      <x:c r="A14" s="269" t="s">
        <x:v>236</x:v>
      </x:c>
      <x:c r="B14" s="102" t="n">
        <x:f>MAX(C14:D14)</x:f>
        <x:v>2</x:v>
      </x:c>
      <x:c r="C14" s="102">
        <x:v>2</x:v>
      </x:c>
      <x:c r="D14" s="102">
        <x:v>2</x:v>
      </x:c>
      <x:c r="E14" s="269" t="s">
        <x:v>228</x:v>
      </x:c>
      <x:c r="F14" s="269">
        <x:v>2</x:v>
      </x:c>
      <x:c r="G14" s="269" t="s">
        <x:v>233</x:v>
      </x:c>
      <x:c r="H14" s="269"/>
    </x:row>
    <x:row r="15" ht="48" customHeight="1">
      <x:c r="A15" s="269" t="s">
        <x:v>237</x:v>
      </x:c>
      <x:c r="B15" s="102" t="n">
        <x:f>MAX(C15:D15)</x:f>
        <x:v>3</x:v>
      </x:c>
      <x:c r="C15" s="102">
        <x:v>3</x:v>
      </x:c>
      <x:c r="D15" s="102">
        <x:v>3</x:v>
      </x:c>
      <x:c r="E15" s="269" t="s">
        <x:v>238</x:v>
      </x:c>
      <x:c r="F15" s="269">
        <x:v>2</x:v>
      </x:c>
      <x:c r="G15" s="269" t="s">
        <x:v>239</x:v>
      </x:c>
      <x:c r="H15" s="269"/>
    </x:row>
    <x:row r="16" ht="28.049999237060547" customHeight="1">
      <x:c r="A16" s="267" t="s">
        <x:v>240</x:v>
      </x:c>
      <x:c r="B16" s="268" t="n">
        <x:f>SUM(B17,B18,B19,B20)</x:f>
        <x:v>7</x:v>
      </x:c>
      <x:c r="C16" s="268"/>
      <x:c r="D16" s="268"/>
      <x:c r="E16" s="267"/>
      <x:c r="F16" s="267"/>
      <x:c r="G16" s="267"/>
      <x:c r="H16" s="267"/>
    </x:row>
    <x:row r="17" ht="48" customHeight="1">
      <x:c r="A17" s="269" t="s">
        <x:v>241</x:v>
      </x:c>
      <x:c r="B17" s="102" t="n">
        <x:f>MAX(C17:D17)</x:f>
        <x:v>1</x:v>
      </x:c>
      <x:c r="C17" s="102">
        <x:v>1</x:v>
      </x:c>
      <x:c r="D17" s="102">
        <x:v>1</x:v>
      </x:c>
      <x:c r="E17" s="269" t="s">
        <x:v>231</x:v>
      </x:c>
      <x:c r="F17" s="269">
        <x:v>1</x:v>
      </x:c>
      <x:c r="G17" s="269" t="s">
        <x:v>242</x:v>
      </x:c>
      <x:c r="H17" s="269"/>
    </x:row>
    <x:row r="18" ht="48" customHeight="1">
      <x:c r="A18" s="269" t="s">
        <x:v>243</x:v>
      </x:c>
      <x:c r="B18" s="102" t="n">
        <x:f>MAX(C18:D18)</x:f>
        <x:v>1</x:v>
      </x:c>
      <x:c r="C18" s="102">
        <x:v>1</x:v>
      </x:c>
      <x:c r="D18" s="102">
        <x:v>1</x:v>
      </x:c>
      <x:c r="E18" s="269" t="s">
        <x:v>231</x:v>
      </x:c>
      <x:c r="F18" s="269">
        <x:v>1</x:v>
      </x:c>
      <x:c r="G18" s="269" t="s">
        <x:v>235</x:v>
      </x:c>
      <x:c r="H18" s="269"/>
    </x:row>
    <x:row r="19" ht="48" customHeight="1">
      <x:c r="A19" s="269" t="s">
        <x:v>244</x:v>
      </x:c>
      <x:c r="B19" s="102" t="n">
        <x:f>MAX(C19:D19)</x:f>
        <x:v>2</x:v>
      </x:c>
      <x:c r="C19" s="102">
        <x:v>2</x:v>
      </x:c>
      <x:c r="D19" s="102">
        <x:v>2</x:v>
      </x:c>
      <x:c r="E19" s="269" t="s">
        <x:v>228</x:v>
      </x:c>
      <x:c r="F19" s="269">
        <x:v>1</x:v>
      </x:c>
      <x:c r="G19" s="269" t="s">
        <x:v>239</x:v>
      </x:c>
      <x:c r="H19" s="269"/>
    </x:row>
    <x:row r="20" ht="48" customHeight="1">
      <x:c r="A20" s="269" t="s">
        <x:v>245</x:v>
      </x:c>
      <x:c r="B20" s="102" t="n">
        <x:f>MAX(C20:D20)</x:f>
        <x:v>3</x:v>
      </x:c>
      <x:c r="C20" s="102">
        <x:v>2</x:v>
      </x:c>
      <x:c r="D20" s="102">
        <x:v>3</x:v>
      </x:c>
      <x:c r="E20" s="269" t="s">
        <x:v>228</x:v>
      </x:c>
      <x:c r="F20" s="269">
        <x:v>1</x:v>
      </x:c>
      <x:c r="G20" s="269" t="s">
        <x:v>239</x:v>
      </x:c>
      <x:c r="H20" s="269"/>
    </x:row>
    <x:row r="21" ht="28.049999237060547" customHeight="1">
      <x:c r="A21" s="267" t="s">
        <x:v>246</x:v>
      </x:c>
      <x:c r="B21" s="268" t="n">
        <x:f>SUM(B22,B23,B24,B25,B26)</x:f>
        <x:v>10</x:v>
      </x:c>
      <x:c r="C21" s="268"/>
      <x:c r="D21" s="268"/>
      <x:c r="E21" s="267"/>
      <x:c r="F21" s="267"/>
      <x:c r="G21" s="267"/>
      <x:c r="H21" s="267"/>
    </x:row>
    <x:row r="22" ht="48" customHeight="1">
      <x:c r="A22" s="269" t="s">
        <x:v>247</x:v>
      </x:c>
      <x:c r="B22" s="102" t="n">
        <x:f>MAX(C22:D22)</x:f>
        <x:v>2</x:v>
      </x:c>
      <x:c r="C22" s="102">
        <x:v>2</x:v>
      </x:c>
      <x:c r="D22" s="102">
        <x:v>1</x:v>
      </x:c>
      <x:c r="E22" s="269" t="s">
        <x:v>228</x:v>
      </x:c>
      <x:c r="F22" s="269">
        <x:v>1</x:v>
      </x:c>
      <x:c r="G22" s="269" t="s">
        <x:v>242</x:v>
      </x:c>
      <x:c r="H22" s="269"/>
    </x:row>
    <x:row r="23" ht="48" customHeight="1">
      <x:c r="A23" s="269" t="s">
        <x:v>248</x:v>
      </x:c>
      <x:c r="B23" s="102" t="n">
        <x:f>MAX(C23:D23)</x:f>
        <x:v>2</x:v>
      </x:c>
      <x:c r="C23" s="102">
        <x:v>2</x:v>
      </x:c>
      <x:c r="D23" s="102">
        <x:v>2</x:v>
      </x:c>
      <x:c r="E23" s="269" t="s">
        <x:v>228</x:v>
      </x:c>
      <x:c r="F23" s="269">
        <x:v>2</x:v>
      </x:c>
      <x:c r="G23" s="269" t="s">
        <x:v>229</x:v>
      </x:c>
      <x:c r="H23" s="269"/>
    </x:row>
    <x:row r="24" ht="48" customHeight="1">
      <x:c r="A24" s="269" t="s">
        <x:v>249</x:v>
      </x:c>
      <x:c r="B24" s="102" t="n">
        <x:f>MAX(C24:D24)</x:f>
        <x:v>2</x:v>
      </x:c>
      <x:c r="C24" s="102">
        <x:v>1</x:v>
      </x:c>
      <x:c r="D24" s="102">
        <x:v>2</x:v>
      </x:c>
      <x:c r="E24" s="269" t="s">
        <x:v>231</x:v>
      </x:c>
      <x:c r="F24" s="269">
        <x:v>1</x:v>
      </x:c>
      <x:c r="G24" s="269" t="s">
        <x:v>242</x:v>
      </x:c>
      <x:c r="H24" s="269"/>
    </x:row>
    <x:row r="25" ht="48" customHeight="1">
      <x:c r="A25" s="269" t="s">
        <x:v>250</x:v>
      </x:c>
      <x:c r="B25" s="102" t="n">
        <x:f>MAX(C25:D25)</x:f>
        <x:v>2</x:v>
      </x:c>
      <x:c r="C25" s="102">
        <x:v>2</x:v>
      </x:c>
      <x:c r="D25" s="102">
        <x:v>2</x:v>
      </x:c>
      <x:c r="E25" s="269" t="s">
        <x:v>228</x:v>
      </x:c>
      <x:c r="F25" s="269">
        <x:v>1</x:v>
      </x:c>
      <x:c r="G25" s="269" t="s">
        <x:v>233</x:v>
      </x:c>
      <x:c r="H25" s="269"/>
    </x:row>
    <x:row r="26" ht="48" customHeight="1">
      <x:c r="A26" s="269" t="s">
        <x:v>251</x:v>
      </x:c>
      <x:c r="B26" s="102" t="n">
        <x:f>MAX(C26:D26)</x:f>
        <x:v>2</x:v>
      </x:c>
      <x:c r="C26" s="102">
        <x:v>2</x:v>
      </x:c>
      <x:c r="D26" s="102">
        <x:v>2</x:v>
      </x:c>
      <x:c r="E26" s="269" t="s">
        <x:v>228</x:v>
      </x:c>
      <x:c r="F26" s="269">
        <x:v>2</x:v>
      </x:c>
      <x:c r="G26" s="269" t="s">
        <x:v>235</x:v>
      </x:c>
      <x:c r="H26" s="269"/>
    </x:row>
    <x:row r="27" ht="28.049999237060547" customHeight="1">
      <x:c r="A27" s="267" t="s">
        <x:v>252</x:v>
      </x:c>
      <x:c r="B27" s="268" t="n">
        <x:f>SUM(B28,B29,B30,B31,B32)</x:f>
        <x:v>10</x:v>
      </x:c>
      <x:c r="C27" s="268"/>
      <x:c r="D27" s="268"/>
      <x:c r="E27" s="267"/>
      <x:c r="F27" s="267"/>
      <x:c r="G27" s="267"/>
      <x:c r="H27" s="267"/>
    </x:row>
    <x:row r="28" ht="48" customHeight="1">
      <x:c r="A28" s="269" t="s">
        <x:v>253</x:v>
      </x:c>
      <x:c r="B28" s="102" t="n">
        <x:f>MAX(C28:D28)</x:f>
        <x:v>2</x:v>
      </x:c>
      <x:c r="C28" s="102">
        <x:v>2</x:v>
      </x:c>
      <x:c r="D28" s="102">
        <x:v>1</x:v>
      </x:c>
      <x:c r="E28" s="269" t="s">
        <x:v>228</x:v>
      </x:c>
      <x:c r="F28" s="269">
        <x:v>1</x:v>
      </x:c>
      <x:c r="G28" s="269" t="s">
        <x:v>235</x:v>
      </x:c>
      <x:c r="H28" s="269"/>
    </x:row>
    <x:row r="29" ht="48" customHeight="1">
      <x:c r="A29" s="269" t="s">
        <x:v>254</x:v>
      </x:c>
      <x:c r="B29" s="102" t="n">
        <x:f>MAX(C29:D29)</x:f>
        <x:v>2</x:v>
      </x:c>
      <x:c r="C29" s="102">
        <x:v>2</x:v>
      </x:c>
      <x:c r="D29" s="102">
        <x:v>1</x:v>
      </x:c>
      <x:c r="E29" s="269" t="s">
        <x:v>228</x:v>
      </x:c>
      <x:c r="F29" s="269">
        <x:v>2</x:v>
      </x:c>
      <x:c r="G29" s="269" t="s">
        <x:v>229</x:v>
      </x:c>
      <x:c r="H29" s="269"/>
    </x:row>
    <x:row r="30" ht="48" customHeight="1">
      <x:c r="A30" s="269" t="s">
        <x:v>255</x:v>
      </x:c>
      <x:c r="B30" s="102" t="n">
        <x:f>MAX(C30:D30)</x:f>
        <x:v>2</x:v>
      </x:c>
      <x:c r="C30" s="102">
        <x:v>2</x:v>
      </x:c>
      <x:c r="D30" s="102">
        <x:v>2</x:v>
      </x:c>
      <x:c r="E30" s="269" t="s">
        <x:v>228</x:v>
      </x:c>
      <x:c r="F30" s="269">
        <x:v>1</x:v>
      </x:c>
      <x:c r="G30" s="269" t="s">
        <x:v>242</x:v>
      </x:c>
      <x:c r="H30" s="269"/>
    </x:row>
    <x:row r="31" ht="48" customHeight="1">
      <x:c r="A31" s="269" t="s">
        <x:v>256</x:v>
      </x:c>
      <x:c r="B31" s="102" t="n">
        <x:f>MAX(C31:D31)</x:f>
        <x:v>2</x:v>
      </x:c>
      <x:c r="C31" s="102">
        <x:v>1</x:v>
      </x:c>
      <x:c r="D31" s="102">
        <x:v>2</x:v>
      </x:c>
      <x:c r="E31" s="269" t="s">
        <x:v>231</x:v>
      </x:c>
      <x:c r="F31" s="269">
        <x:v>1</x:v>
      </x:c>
      <x:c r="G31" s="269" t="s">
        <x:v>242</x:v>
      </x:c>
      <x:c r="H31" s="269"/>
    </x:row>
    <x:row r="32" ht="48" customHeight="1">
      <x:c r="A32" s="269" t="s">
        <x:v>257</x:v>
      </x:c>
      <x:c r="B32" s="102" t="n">
        <x:f>MAX(C32:D32)</x:f>
        <x:v>2</x:v>
      </x:c>
      <x:c r="C32" s="102">
        <x:v>2</x:v>
      </x:c>
      <x:c r="D32" s="102">
        <x:v>2</x:v>
      </x:c>
      <x:c r="E32" s="269" t="s">
        <x:v>228</x:v>
      </x:c>
      <x:c r="F32" s="269">
        <x:v>1</x:v>
      </x:c>
      <x:c r="G32" s="269" t="s">
        <x:v>258</x:v>
      </x:c>
      <x:c r="H32" s="269"/>
    </x:row>
    <x:row r="33" ht="28.049999237060547" customHeight="1">
      <x:c r="A33" s="265" t="s">
        <x:v>259</x:v>
      </x:c>
      <x:c r="B33" s="266" t="n">
        <x:f>SUM(B35,B36,B37,B38,B39,B41,B42,B43,B44,B46,B47,B48,B49,B50,B52,B53,B54,B55,B56,B58,B59,B60,B61,B62,B64,B65,B66,B67)</x:f>
        <x:v>57</x:v>
      </x:c>
      <x:c r="C33" s="266"/>
      <x:c r="D33" s="266"/>
      <x:c r="E33" s="265"/>
      <x:c r="F33" s="265"/>
      <x:c r="G33" s="265"/>
      <x:c r="H33" s="265"/>
    </x:row>
    <x:row r="34" ht="28.049999237060547" customHeight="1">
      <x:c r="A34" s="267" t="s">
        <x:v>260</x:v>
      </x:c>
      <x:c r="B34" s="268" t="n">
        <x:f>SUM(B35,B36,B37,B38,B39)</x:f>
        <x:v>10</x:v>
      </x:c>
      <x:c r="C34" s="268"/>
      <x:c r="D34" s="268"/>
      <x:c r="E34" s="267"/>
      <x:c r="F34" s="267"/>
      <x:c r="G34" s="267"/>
      <x:c r="H34" s="267"/>
    </x:row>
    <x:row r="35" ht="48" customHeight="1">
      <x:c r="A35" s="269" t="s">
        <x:v>261</x:v>
      </x:c>
      <x:c r="B35" s="102" t="n">
        <x:f>MAX(C35:D35)</x:f>
        <x:v>2</x:v>
      </x:c>
      <x:c r="C35" s="102">
        <x:v>1</x:v>
      </x:c>
      <x:c r="D35" s="102">
        <x:v>2</x:v>
      </x:c>
      <x:c r="E35" s="269" t="s">
        <x:v>231</x:v>
      </x:c>
      <x:c r="F35" s="269">
        <x:v>2</x:v>
      </x:c>
      <x:c r="G35" s="269" t="s">
        <x:v>242</x:v>
      </x:c>
      <x:c r="H35" s="269"/>
    </x:row>
    <x:row r="36" ht="48" customHeight="1">
      <x:c r="A36" s="269" t="s">
        <x:v>262</x:v>
      </x:c>
      <x:c r="B36" s="102" t="n">
        <x:f>MAX(C36:D36)</x:f>
        <x:v>2</x:v>
      </x:c>
      <x:c r="C36" s="102">
        <x:v>2</x:v>
      </x:c>
      <x:c r="D36" s="102">
        <x:v>2</x:v>
      </x:c>
      <x:c r="E36" s="269" t="s">
        <x:v>228</x:v>
      </x:c>
      <x:c r="F36" s="269">
        <x:v>2</x:v>
      </x:c>
      <x:c r="G36" s="269" t="s">
        <x:v>235</x:v>
      </x:c>
      <x:c r="H36" s="269"/>
    </x:row>
    <x:row r="37" ht="48" customHeight="1">
      <x:c r="A37" s="269" t="s">
        <x:v>263</x:v>
      </x:c>
      <x:c r="B37" s="102" t="n">
        <x:f>MAX(C37:D37)</x:f>
        <x:v>3</x:v>
      </x:c>
      <x:c r="C37" s="102">
        <x:v>3</x:v>
      </x:c>
      <x:c r="D37" s="102">
        <x:v>3</x:v>
      </x:c>
      <x:c r="E37" s="269" t="s">
        <x:v>238</x:v>
      </x:c>
      <x:c r="F37" s="269">
        <x:v>2</x:v>
      </x:c>
      <x:c r="G37" s="269" t="s">
        <x:v>258</x:v>
      </x:c>
      <x:c r="H37" s="269"/>
    </x:row>
    <x:row r="38" ht="48" customHeight="1">
      <x:c r="A38" s="269" t="s">
        <x:v>264</x:v>
      </x:c>
      <x:c r="B38" s="102" t="n">
        <x:f>MAX(C38:D38)</x:f>
        <x:v>2</x:v>
      </x:c>
      <x:c r="C38" s="102">
        <x:v>2</x:v>
      </x:c>
      <x:c r="D38" s="102">
        <x:v>2</x:v>
      </x:c>
      <x:c r="E38" s="269" t="s">
        <x:v>228</x:v>
      </x:c>
      <x:c r="F38" s="269">
        <x:v>2</x:v>
      </x:c>
      <x:c r="G38" s="269" t="s">
        <x:v>242</x:v>
      </x:c>
      <x:c r="H38" s="269"/>
    </x:row>
    <x:row r="39" ht="48" customHeight="1">
      <x:c r="A39" s="269" t="s">
        <x:v>265</x:v>
      </x:c>
      <x:c r="B39" s="102" t="n">
        <x:f>MAX(C39:D39)</x:f>
        <x:v>1</x:v>
      </x:c>
      <x:c r="C39" s="102">
        <x:v>1</x:v>
      </x:c>
      <x:c r="D39" s="102">
        <x:v>1</x:v>
      </x:c>
      <x:c r="E39" s="269" t="s">
        <x:v>231</x:v>
      </x:c>
      <x:c r="F39" s="269">
        <x:v>2</x:v>
      </x:c>
      <x:c r="G39" s="269" t="s">
        <x:v>242</x:v>
      </x:c>
      <x:c r="H39" s="269"/>
    </x:row>
    <x:row r="40" ht="28.049999237060547" customHeight="1">
      <x:c r="A40" s="267" t="s">
        <x:v>266</x:v>
      </x:c>
      <x:c r="B40" s="268" t="n">
        <x:f>SUM(B41,B42,B43,B44)</x:f>
        <x:v>8</x:v>
      </x:c>
      <x:c r="C40" s="268"/>
      <x:c r="D40" s="268"/>
      <x:c r="E40" s="267"/>
      <x:c r="F40" s="267"/>
      <x:c r="G40" s="267"/>
      <x:c r="H40" s="267"/>
    </x:row>
    <x:row r="41" ht="48" customHeight="1">
      <x:c r="A41" s="269" t="s">
        <x:v>267</x:v>
      </x:c>
      <x:c r="B41" s="102" t="n">
        <x:f>MAX(C41:D41)</x:f>
        <x:v>2</x:v>
      </x:c>
      <x:c r="C41" s="102">
        <x:v>2</x:v>
      </x:c>
      <x:c r="D41" s="102">
        <x:v>2</x:v>
      </x:c>
      <x:c r="E41" s="269" t="s">
        <x:v>228</x:v>
      </x:c>
      <x:c r="F41" s="269">
        <x:v>2</x:v>
      </x:c>
      <x:c r="G41" s="269" t="s">
        <x:v>229</x:v>
      </x:c>
      <x:c r="H41" s="269"/>
    </x:row>
    <x:row r="42" ht="48" customHeight="1">
      <x:c r="A42" s="269" t="s">
        <x:v>268</x:v>
      </x:c>
      <x:c r="B42" s="102" t="n">
        <x:f>MAX(C42:D42)</x:f>
        <x:v>2</x:v>
      </x:c>
      <x:c r="C42" s="102">
        <x:v>2</x:v>
      </x:c>
      <x:c r="D42" s="102">
        <x:v>2</x:v>
      </x:c>
      <x:c r="E42" s="269" t="s">
        <x:v>228</x:v>
      </x:c>
      <x:c r="F42" s="269">
        <x:v>2</x:v>
      </x:c>
      <x:c r="G42" s="269" t="s">
        <x:v>233</x:v>
      </x:c>
      <x:c r="H42" s="269"/>
    </x:row>
    <x:row r="43" ht="48" customHeight="1">
      <x:c r="A43" s="269" t="s">
        <x:v>269</x:v>
      </x:c>
      <x:c r="B43" s="102" t="n">
        <x:f>MAX(C43:D43)</x:f>
        <x:v>2</x:v>
      </x:c>
      <x:c r="C43" s="102">
        <x:v>2</x:v>
      </x:c>
      <x:c r="D43" s="102">
        <x:v>2</x:v>
      </x:c>
      <x:c r="E43" s="269" t="s">
        <x:v>228</x:v>
      </x:c>
      <x:c r="F43" s="269">
        <x:v>2</x:v>
      </x:c>
      <x:c r="G43" s="269" t="s">
        <x:v>235</x:v>
      </x:c>
      <x:c r="H43" s="269"/>
    </x:row>
    <x:row r="44" ht="48" customHeight="1">
      <x:c r="A44" s="269" t="s">
        <x:v>270</x:v>
      </x:c>
      <x:c r="B44" s="102" t="n">
        <x:f>MAX(C44:D44)</x:f>
        <x:v>2</x:v>
      </x:c>
      <x:c r="C44" s="102">
        <x:v>2</x:v>
      </x:c>
      <x:c r="D44" s="102">
        <x:v>2</x:v>
      </x:c>
      <x:c r="E44" s="269" t="s">
        <x:v>228</x:v>
      </x:c>
      <x:c r="F44" s="269">
        <x:v>2</x:v>
      </x:c>
      <x:c r="G44" s="269" t="s">
        <x:v>258</x:v>
      </x:c>
      <x:c r="H44" s="269"/>
    </x:row>
    <x:row r="45" ht="28.049999237060547" customHeight="1">
      <x:c r="A45" s="267" t="s">
        <x:v>271</x:v>
      </x:c>
      <x:c r="B45" s="268" t="n">
        <x:f>SUM(B46,B47,B48,B49,B50)</x:f>
        <x:v>11</x:v>
      </x:c>
      <x:c r="C45" s="268"/>
      <x:c r="D45" s="268"/>
      <x:c r="E45" s="267"/>
      <x:c r="F45" s="267"/>
      <x:c r="G45" s="267"/>
      <x:c r="H45" s="267"/>
    </x:row>
    <x:row r="46" ht="48" customHeight="1">
      <x:c r="A46" s="269" t="s">
        <x:v>272</x:v>
      </x:c>
      <x:c r="B46" s="102" t="n">
        <x:f>MAX(C46:D46)</x:f>
        <x:v>2</x:v>
      </x:c>
      <x:c r="C46" s="102">
        <x:v>2</x:v>
      </x:c>
      <x:c r="D46" s="102">
        <x:v>2</x:v>
      </x:c>
      <x:c r="E46" s="269" t="s">
        <x:v>228</x:v>
      </x:c>
      <x:c r="F46" s="269"/>
      <x:c r="G46" s="269" t="s">
        <x:v>242</x:v>
      </x:c>
      <x:c r="H46" s="269"/>
    </x:row>
    <x:row r="47" ht="48" customHeight="1">
      <x:c r="A47" s="269" t="s">
        <x:v>273</x:v>
      </x:c>
      <x:c r="B47" s="102" t="n">
        <x:f>MAX(C47:D47)</x:f>
        <x:v>2</x:v>
      </x:c>
      <x:c r="C47" s="102">
        <x:v>1</x:v>
      </x:c>
      <x:c r="D47" s="102">
        <x:v>2</x:v>
      </x:c>
      <x:c r="E47" s="269" t="s">
        <x:v>231</x:v>
      </x:c>
      <x:c r="F47" s="269"/>
      <x:c r="G47" s="269" t="s">
        <x:v>274</x:v>
      </x:c>
      <x:c r="H47" s="269"/>
    </x:row>
    <x:row r="48" ht="48" customHeight="1">
      <x:c r="A48" s="269" t="s">
        <x:v>275</x:v>
      </x:c>
      <x:c r="B48" s="102" t="n">
        <x:f>MAX(C48:D48)</x:f>
        <x:v>2</x:v>
      </x:c>
      <x:c r="C48" s="102">
        <x:v>2</x:v>
      </x:c>
      <x:c r="D48" s="102">
        <x:v>2</x:v>
      </x:c>
      <x:c r="E48" s="269" t="s">
        <x:v>228</x:v>
      </x:c>
      <x:c r="F48" s="269"/>
      <x:c r="G48" s="269" t="s">
        <x:v>229</x:v>
      </x:c>
      <x:c r="H48" s="269"/>
    </x:row>
    <x:row r="49" ht="48" customHeight="1">
      <x:c r="A49" s="269" t="s">
        <x:v>276</x:v>
      </x:c>
      <x:c r="B49" s="102" t="n">
        <x:f>MAX(C49:D49)</x:f>
        <x:v>2</x:v>
      </x:c>
      <x:c r="C49" s="102">
        <x:v>1</x:v>
      </x:c>
      <x:c r="D49" s="102">
        <x:v>2</x:v>
      </x:c>
      <x:c r="E49" s="269" t="s">
        <x:v>231</x:v>
      </x:c>
      <x:c r="F49" s="269"/>
      <x:c r="G49" s="269" t="s">
        <x:v>242</x:v>
      </x:c>
      <x:c r="H49" s="269"/>
    </x:row>
    <x:row r="50" ht="48" customHeight="1">
      <x:c r="A50" s="269" t="s">
        <x:v>277</x:v>
      </x:c>
      <x:c r="B50" s="102" t="n">
        <x:f>MAX(C50:D50)</x:f>
        <x:v>3</x:v>
      </x:c>
      <x:c r="C50" s="102">
        <x:v>3</x:v>
      </x:c>
      <x:c r="D50" s="102">
        <x:v>3</x:v>
      </x:c>
      <x:c r="E50" s="269" t="s">
        <x:v>238</x:v>
      </x:c>
      <x:c r="F50" s="269"/>
      <x:c r="G50" s="269" t="s">
        <x:v>258</x:v>
      </x:c>
      <x:c r="H50" s="269"/>
    </x:row>
    <x:row r="51" ht="28.049999237060547" customHeight="1">
      <x:c r="A51" s="267" t="s">
        <x:v>278</x:v>
      </x:c>
      <x:c r="B51" s="268" t="n">
        <x:f>SUM(B52,B53,B54,B55,B56)</x:f>
        <x:v>10</x:v>
      </x:c>
      <x:c r="C51" s="268"/>
      <x:c r="D51" s="268"/>
      <x:c r="E51" s="267"/>
      <x:c r="F51" s="267"/>
      <x:c r="G51" s="267"/>
      <x:c r="H51" s="267"/>
    </x:row>
    <x:row r="52" ht="48" customHeight="1">
      <x:c r="A52" s="269" t="s">
        <x:v>279</x:v>
      </x:c>
      <x:c r="B52" s="102" t="n">
        <x:f>MAX(C52:D52)</x:f>
        <x:v>2</x:v>
      </x:c>
      <x:c r="C52" s="102">
        <x:v>2</x:v>
      </x:c>
      <x:c r="D52" s="102">
        <x:v>2</x:v>
      </x:c>
      <x:c r="E52" s="269" t="s">
        <x:v>228</x:v>
      </x:c>
      <x:c r="F52" s="269"/>
      <x:c r="G52" s="269" t="s">
        <x:v>229</x:v>
      </x:c>
      <x:c r="H52" s="269"/>
    </x:row>
    <x:row r="53" ht="48" customHeight="1">
      <x:c r="A53" s="269" t="s">
        <x:v>280</x:v>
      </x:c>
      <x:c r="B53" s="102" t="n">
        <x:f>MAX(C53:D53)</x:f>
        <x:v>3</x:v>
      </x:c>
      <x:c r="C53" s="102">
        <x:v>3</x:v>
      </x:c>
      <x:c r="D53" s="102">
        <x:v>3</x:v>
      </x:c>
      <x:c r="E53" s="269" t="s">
        <x:v>238</x:v>
      </x:c>
      <x:c r="F53" s="269"/>
      <x:c r="G53" s="269" t="s">
        <x:v>229</x:v>
      </x:c>
      <x:c r="H53" s="269"/>
    </x:row>
    <x:row r="54" ht="48" customHeight="1">
      <x:c r="A54" s="269" t="s">
        <x:v>281</x:v>
      </x:c>
      <x:c r="B54" s="102" t="n">
        <x:f>MAX(C54:D54)</x:f>
        <x:v>2</x:v>
      </x:c>
      <x:c r="C54" s="102">
        <x:v>2</x:v>
      </x:c>
      <x:c r="D54" s="102">
        <x:v>2</x:v>
      </x:c>
      <x:c r="E54" s="269" t="s">
        <x:v>228</x:v>
      </x:c>
      <x:c r="F54" s="269"/>
      <x:c r="G54" s="269" t="s">
        <x:v>229</x:v>
      </x:c>
      <x:c r="H54" s="269"/>
    </x:row>
    <x:row r="55" ht="48" customHeight="1">
      <x:c r="A55" s="269" t="s">
        <x:v>282</x:v>
      </x:c>
      <x:c r="B55" s="102" t="n">
        <x:f>MAX(C55:D55)</x:f>
        <x:v>1</x:v>
      </x:c>
      <x:c r="C55" s="102">
        <x:v>1</x:v>
      </x:c>
      <x:c r="D55" s="102">
        <x:v>1</x:v>
      </x:c>
      <x:c r="E55" s="269" t="s">
        <x:v>231</x:v>
      </x:c>
      <x:c r="F55" s="269"/>
      <x:c r="G55" s="269" t="s">
        <x:v>274</x:v>
      </x:c>
      <x:c r="H55" s="269"/>
    </x:row>
    <x:row r="56" ht="48" customHeight="1">
      <x:c r="A56" s="269" t="s">
        <x:v>283</x:v>
      </x:c>
      <x:c r="B56" s="102" t="n">
        <x:f>MAX(C56:D56)</x:f>
        <x:v>2</x:v>
      </x:c>
      <x:c r="C56" s="102">
        <x:v>2</x:v>
      </x:c>
      <x:c r="D56" s="102">
        <x:v>2</x:v>
      </x:c>
      <x:c r="E56" s="269" t="s">
        <x:v>228</x:v>
      </x:c>
      <x:c r="F56" s="269"/>
      <x:c r="G56" s="269" t="s">
        <x:v>235</x:v>
      </x:c>
      <x:c r="H56" s="269"/>
    </x:row>
    <x:row r="57" ht="28.049999237060547" customHeight="1">
      <x:c r="A57" s="267" t="s">
        <x:v>284</x:v>
      </x:c>
      <x:c r="B57" s="268" t="n">
        <x:f>SUM(B58,B59,B60,B61,B62)</x:f>
        <x:v>11</x:v>
      </x:c>
      <x:c r="C57" s="268"/>
      <x:c r="D57" s="268"/>
      <x:c r="E57" s="267"/>
      <x:c r="F57" s="267"/>
      <x:c r="G57" s="267"/>
      <x:c r="H57" s="267"/>
    </x:row>
    <x:row r="58" ht="48" customHeight="1">
      <x:c r="A58" s="269" t="s">
        <x:v>285</x:v>
      </x:c>
      <x:c r="B58" s="102" t="n">
        <x:f>MAX(C58:D58)</x:f>
        <x:v>2</x:v>
      </x:c>
      <x:c r="C58" s="102">
        <x:v>2</x:v>
      </x:c>
      <x:c r="D58" s="102">
        <x:v>1</x:v>
      </x:c>
      <x:c r="E58" s="269" t="s">
        <x:v>228</x:v>
      </x:c>
      <x:c r="F58" s="269"/>
      <x:c r="G58" s="269" t="s">
        <x:v>229</x:v>
      </x:c>
      <x:c r="H58" s="269"/>
    </x:row>
    <x:row r="59" ht="48" customHeight="1">
      <x:c r="A59" s="269" t="s">
        <x:v>286</x:v>
      </x:c>
      <x:c r="B59" s="102" t="n">
        <x:f>MAX(C59:D59)</x:f>
        <x:v>2</x:v>
      </x:c>
      <x:c r="C59" s="102">
        <x:v>2</x:v>
      </x:c>
      <x:c r="D59" s="102">
        <x:v>2</x:v>
      </x:c>
      <x:c r="E59" s="269" t="s">
        <x:v>228</x:v>
      </x:c>
      <x:c r="F59" s="269"/>
      <x:c r="G59" s="269" t="s">
        <x:v>229</x:v>
      </x:c>
      <x:c r="H59" s="269"/>
    </x:row>
    <x:row r="60" ht="48" customHeight="1">
      <x:c r="A60" s="269" t="s">
        <x:v>287</x:v>
      </x:c>
      <x:c r="B60" s="102" t="n">
        <x:f>MAX(C60:D60)</x:f>
        <x:v>3</x:v>
      </x:c>
      <x:c r="C60" s="102">
        <x:v>2</x:v>
      </x:c>
      <x:c r="D60" s="102">
        <x:v>3</x:v>
      </x:c>
      <x:c r="E60" s="269" t="s">
        <x:v>228</x:v>
      </x:c>
      <x:c r="F60" s="269"/>
      <x:c r="G60" s="269" t="s">
        <x:v>235</x:v>
      </x:c>
      <x:c r="H60" s="269"/>
    </x:row>
    <x:row r="61" ht="48" customHeight="1">
      <x:c r="A61" s="269" t="s">
        <x:v>288</x:v>
      </x:c>
      <x:c r="B61" s="102" t="n">
        <x:f>MAX(C61:D61)</x:f>
        <x:v>2</x:v>
      </x:c>
      <x:c r="C61" s="102">
        <x:v>2</x:v>
      </x:c>
      <x:c r="D61" s="102">
        <x:v>1</x:v>
      </x:c>
      <x:c r="E61" s="269" t="s">
        <x:v>228</x:v>
      </x:c>
      <x:c r="F61" s="269"/>
      <x:c r="G61" s="269" t="s">
        <x:v>242</x:v>
      </x:c>
      <x:c r="H61" s="269"/>
    </x:row>
    <x:row r="62" ht="48" customHeight="1">
      <x:c r="A62" s="269" t="s">
        <x:v>289</x:v>
      </x:c>
      <x:c r="B62" s="102" t="n">
        <x:f>MAX(C62:D62)</x:f>
        <x:v>2</x:v>
      </x:c>
      <x:c r="C62" s="102">
        <x:v>2</x:v>
      </x:c>
      <x:c r="D62" s="102">
        <x:v>2</x:v>
      </x:c>
      <x:c r="E62" s="269" t="s">
        <x:v>228</x:v>
      </x:c>
      <x:c r="F62" s="269"/>
      <x:c r="G62" s="269" t="s">
        <x:v>233</x:v>
      </x:c>
      <x:c r="H62" s="269"/>
    </x:row>
    <x:row r="63" ht="28.049999237060547" customHeight="1">
      <x:c r="A63" s="267" t="s">
        <x:v>290</x:v>
      </x:c>
      <x:c r="B63" s="268" t="n">
        <x:f>SUM(B64,B65,B66,B67)</x:f>
        <x:v>7</x:v>
      </x:c>
      <x:c r="C63" s="268"/>
      <x:c r="D63" s="268"/>
      <x:c r="E63" s="267"/>
      <x:c r="F63" s="267"/>
      <x:c r="G63" s="267"/>
      <x:c r="H63" s="267"/>
    </x:row>
    <x:row r="64" ht="48" customHeight="1">
      <x:c r="A64" s="269" t="s">
        <x:v>291</x:v>
      </x:c>
      <x:c r="B64" s="102" t="n">
        <x:f>MAX(C64:D64)</x:f>
        <x:v>2</x:v>
      </x:c>
      <x:c r="C64" s="102">
        <x:v>2</x:v>
      </x:c>
      <x:c r="D64" s="102">
        <x:v>2</x:v>
      </x:c>
      <x:c r="E64" s="269" t="s">
        <x:v>228</x:v>
      </x:c>
      <x:c r="F64" s="269"/>
      <x:c r="G64" s="269" t="s">
        <x:v>242</x:v>
      </x:c>
      <x:c r="H64" s="269"/>
    </x:row>
    <x:row r="65" ht="48" customHeight="1">
      <x:c r="A65" s="269" t="s">
        <x:v>292</x:v>
      </x:c>
      <x:c r="B65" s="102" t="n">
        <x:f>MAX(C65:D65)</x:f>
        <x:v>2</x:v>
      </x:c>
      <x:c r="C65" s="102">
        <x:v>2</x:v>
      </x:c>
      <x:c r="D65" s="102">
        <x:v>2</x:v>
      </x:c>
      <x:c r="E65" s="269" t="s">
        <x:v>228</x:v>
      </x:c>
      <x:c r="F65" s="269"/>
      <x:c r="G65" s="269" t="s">
        <x:v>242</x:v>
      </x:c>
      <x:c r="H65" s="269"/>
    </x:row>
    <x:row r="66" ht="48" customHeight="1">
      <x:c r="A66" s="269" t="s">
        <x:v>293</x:v>
      </x:c>
      <x:c r="B66" s="102" t="n">
        <x:f>MAX(C66:D66)</x:f>
        <x:v>2</x:v>
      </x:c>
      <x:c r="C66" s="102">
        <x:v>2</x:v>
      </x:c>
      <x:c r="D66" s="102">
        <x:v>2</x:v>
      </x:c>
      <x:c r="E66" s="269" t="s">
        <x:v>228</x:v>
      </x:c>
      <x:c r="F66" s="269"/>
      <x:c r="G66" s="269" t="s">
        <x:v>242</x:v>
      </x:c>
      <x:c r="H66" s="269"/>
    </x:row>
    <x:row r="67" ht="48" customHeight="1">
      <x:c r="A67" s="269" t="s">
        <x:v>294</x:v>
      </x:c>
      <x:c r="B67" s="102" t="n">
        <x:f>MAX(C67:D67)</x:f>
        <x:v>1</x:v>
      </x:c>
      <x:c r="C67" s="102">
        <x:v>1</x:v>
      </x:c>
      <x:c r="D67" s="102">
        <x:v>1</x:v>
      </x:c>
      <x:c r="E67" s="269" t="s">
        <x:v>231</x:v>
      </x:c>
      <x:c r="F67" s="269"/>
      <x:c r="G67" s="269" t="s">
        <x:v>274</x:v>
      </x:c>
      <x:c r="H67" s="269"/>
    </x:row>
    <x:row r="68" ht="28.049999237060547" customHeight="1">
      <x:c r="A68" s="265" t="s">
        <x:v>295</x:v>
      </x:c>
      <x:c r="B68" s="266" t="n">
        <x:f>SUM(B70,B71,B72,B73,B75,B76,B77,B78,B80,B81,B82,B83,B84,B85,B86)</x:f>
        <x:v>27</x:v>
      </x:c>
      <x:c r="C68" s="266"/>
      <x:c r="D68" s="266"/>
      <x:c r="E68" s="265"/>
      <x:c r="F68" s="265"/>
      <x:c r="G68" s="265"/>
      <x:c r="H68" s="265"/>
    </x:row>
    <x:row r="69" ht="28.049999237060547" customHeight="1">
      <x:c r="A69" s="267" t="s">
        <x:v>296</x:v>
      </x:c>
      <x:c r="B69" s="268" t="n">
        <x:f>SUM(B70,B71,B72,B73)</x:f>
        <x:v>6</x:v>
      </x:c>
      <x:c r="C69" s="268"/>
      <x:c r="D69" s="268"/>
      <x:c r="E69" s="267"/>
      <x:c r="F69" s="267"/>
      <x:c r="G69" s="267"/>
      <x:c r="H69" s="267"/>
    </x:row>
    <x:row r="70" ht="48" customHeight="1">
      <x:c r="A70" s="269" t="s">
        <x:v>297</x:v>
      </x:c>
      <x:c r="B70" s="102" t="n">
        <x:f>MAX(C70:D70)</x:f>
        <x:v>1</x:v>
      </x:c>
      <x:c r="C70" s="102">
        <x:v>1</x:v>
      </x:c>
      <x:c r="D70" s="102">
        <x:v>1</x:v>
      </x:c>
      <x:c r="E70" s="269" t="s">
        <x:v>231</x:v>
      </x:c>
      <x:c r="F70" s="269"/>
      <x:c r="G70" s="269" t="s">
        <x:v>229</x:v>
      </x:c>
      <x:c r="H70" s="269"/>
    </x:row>
    <x:row r="71" ht="48" customHeight="1">
      <x:c r="A71" s="269" t="s">
        <x:v>298</x:v>
      </x:c>
      <x:c r="B71" s="102" t="n">
        <x:f>MAX(C71:D71)</x:f>
        <x:v>2</x:v>
      </x:c>
      <x:c r="C71" s="102">
        <x:v>2</x:v>
      </x:c>
      <x:c r="D71" s="102">
        <x:v>2</x:v>
      </x:c>
      <x:c r="E71" s="269" t="s">
        <x:v>228</x:v>
      </x:c>
      <x:c r="F71" s="269"/>
      <x:c r="G71" s="269" t="s">
        <x:v>242</x:v>
      </x:c>
      <x:c r="H71" s="269"/>
    </x:row>
    <x:row r="72" ht="48" customHeight="1">
      <x:c r="A72" s="269" t="s">
        <x:v>299</x:v>
      </x:c>
      <x:c r="B72" s="102" t="n">
        <x:f>MAX(C72:D72)</x:f>
        <x:v>2</x:v>
      </x:c>
      <x:c r="C72" s="102">
        <x:v>2</x:v>
      </x:c>
      <x:c r="D72" s="102">
        <x:v>2</x:v>
      </x:c>
      <x:c r="E72" s="269" t="s">
        <x:v>228</x:v>
      </x:c>
      <x:c r="F72" s="269"/>
      <x:c r="G72" s="269" t="s">
        <x:v>300</x:v>
      </x:c>
      <x:c r="H72" s="269"/>
    </x:row>
    <x:row r="73" ht="48" customHeight="1">
      <x:c r="A73" s="269" t="s">
        <x:v>301</x:v>
      </x:c>
      <x:c r="B73" s="102" t="n">
        <x:f>MAX(C73:D73)</x:f>
        <x:v>1</x:v>
      </x:c>
      <x:c r="C73" s="102">
        <x:v>1</x:v>
      </x:c>
      <x:c r="D73" s="102">
        <x:v>1</x:v>
      </x:c>
      <x:c r="E73" s="269" t="s">
        <x:v>231</x:v>
      </x:c>
      <x:c r="F73" s="269"/>
      <x:c r="G73" s="269" t="s">
        <x:v>233</x:v>
      </x:c>
      <x:c r="H73" s="269"/>
    </x:row>
    <x:row r="74" ht="28.049999237060547" customHeight="1">
      <x:c r="A74" s="267" t="s">
        <x:v>302</x:v>
      </x:c>
      <x:c r="B74" s="268" t="n">
        <x:f>SUM(B75,B76,B77,B78)</x:f>
        <x:v>6</x:v>
      </x:c>
      <x:c r="C74" s="268"/>
      <x:c r="D74" s="268"/>
      <x:c r="E74" s="267"/>
      <x:c r="F74" s="267"/>
      <x:c r="G74" s="267"/>
      <x:c r="H74" s="267"/>
    </x:row>
    <x:row r="75" ht="48" customHeight="1">
      <x:c r="A75" s="269" t="s">
        <x:v>303</x:v>
      </x:c>
      <x:c r="B75" s="102" t="n">
        <x:f>MAX(C75:D75)</x:f>
        <x:v>1</x:v>
      </x:c>
      <x:c r="C75" s="102">
        <x:v>1</x:v>
      </x:c>
      <x:c r="D75" s="102">
        <x:v>1</x:v>
      </x:c>
      <x:c r="E75" s="269" t="s">
        <x:v>231</x:v>
      </x:c>
      <x:c r="F75" s="269"/>
      <x:c r="G75" s="269" t="s">
        <x:v>229</x:v>
      </x:c>
      <x:c r="H75" s="269"/>
    </x:row>
    <x:row r="76" ht="48" customHeight="1">
      <x:c r="A76" s="269" t="s">
        <x:v>304</x:v>
      </x:c>
      <x:c r="B76" s="102" t="n">
        <x:f>MAX(C76:D76)</x:f>
        <x:v>1</x:v>
      </x:c>
      <x:c r="C76" s="102">
        <x:v>1</x:v>
      </x:c>
      <x:c r="D76" s="102">
        <x:v>1</x:v>
      </x:c>
      <x:c r="E76" s="269" t="s">
        <x:v>231</x:v>
      </x:c>
      <x:c r="F76" s="269"/>
      <x:c r="G76" s="269" t="s">
        <x:v>300</x:v>
      </x:c>
      <x:c r="H76" s="269"/>
    </x:row>
    <x:row r="77" ht="48" customHeight="1">
      <x:c r="A77" s="269" t="s">
        <x:v>305</x:v>
      </x:c>
      <x:c r="B77" s="102" t="n">
        <x:f>MAX(C77:D77)</x:f>
        <x:v>2</x:v>
      </x:c>
      <x:c r="C77" s="102">
        <x:v>2</x:v>
      </x:c>
      <x:c r="D77" s="102">
        <x:v>2</x:v>
      </x:c>
      <x:c r="E77" s="269" t="s">
        <x:v>228</x:v>
      </x:c>
      <x:c r="F77" s="269"/>
      <x:c r="G77" s="269" t="s">
        <x:v>300</x:v>
      </x:c>
      <x:c r="H77" s="269"/>
    </x:row>
    <x:row r="78" ht="48" customHeight="1">
      <x:c r="A78" s="269" t="s">
        <x:v>306</x:v>
      </x:c>
      <x:c r="B78" s="102" t="n">
        <x:f>MAX(C78:D78)</x:f>
        <x:v>2</x:v>
      </x:c>
      <x:c r="C78" s="102">
        <x:v>2</x:v>
      </x:c>
      <x:c r="D78" s="102">
        <x:v>2</x:v>
      </x:c>
      <x:c r="E78" s="269" t="s">
        <x:v>228</x:v>
      </x:c>
      <x:c r="F78" s="269"/>
      <x:c r="G78" s="269" t="s">
        <x:v>300</x:v>
      </x:c>
      <x:c r="H78" s="269"/>
    </x:row>
    <x:row r="79" ht="28.049999237060547" customHeight="1">
      <x:c r="A79" s="267" t="s">
        <x:v>307</x:v>
      </x:c>
      <x:c r="B79" s="268" t="n">
        <x:f>SUM(B80,B81,B82,B83,B84,B85,B86)</x:f>
        <x:v>15</x:v>
      </x:c>
      <x:c r="C79" s="268"/>
      <x:c r="D79" s="268"/>
      <x:c r="E79" s="267"/>
      <x:c r="F79" s="267"/>
      <x:c r="G79" s="267"/>
      <x:c r="H79" s="267"/>
    </x:row>
    <x:row r="80" ht="48" customHeight="1">
      <x:c r="A80" s="269" t="s">
        <x:v>308</x:v>
      </x:c>
      <x:c r="B80" s="102" t="n">
        <x:f>MAX(C80:D80)</x:f>
        <x:v>3</x:v>
      </x:c>
      <x:c r="C80" s="102">
        <x:v>3</x:v>
      </x:c>
      <x:c r="D80" s="102">
        <x:v>1</x:v>
      </x:c>
      <x:c r="E80" s="269" t="s">
        <x:v>238</x:v>
      </x:c>
      <x:c r="F80" s="269"/>
      <x:c r="G80" s="269" t="s">
        <x:v>242</x:v>
      </x:c>
      <x:c r="H80" s="269"/>
    </x:row>
    <x:row r="81" ht="48" customHeight="1">
      <x:c r="A81" s="269" t="s">
        <x:v>309</x:v>
      </x:c>
      <x:c r="B81" s="102" t="n">
        <x:f>MAX(C81:D81)</x:f>
        <x:v>2</x:v>
      </x:c>
      <x:c r="C81" s="102">
        <x:v>2</x:v>
      </x:c>
      <x:c r="D81" s="102">
        <x:v>2</x:v>
      </x:c>
      <x:c r="E81" s="269" t="s">
        <x:v>228</x:v>
      </x:c>
      <x:c r="F81" s="269"/>
      <x:c r="G81" s="269" t="s">
        <x:v>242</x:v>
      </x:c>
      <x:c r="H81" s="269"/>
    </x:row>
    <x:row r="82" ht="48" customHeight="1">
      <x:c r="A82" s="269" t="s">
        <x:v>310</x:v>
      </x:c>
      <x:c r="B82" s="102" t="n">
        <x:f>MAX(C82:D82)</x:f>
        <x:v>1</x:v>
      </x:c>
      <x:c r="C82" s="102">
        <x:v>1</x:v>
      </x:c>
      <x:c r="D82" s="102">
        <x:v>1</x:v>
      </x:c>
      <x:c r="E82" s="269" t="s">
        <x:v>231</x:v>
      </x:c>
      <x:c r="F82" s="269"/>
      <x:c r="G82" s="269" t="s">
        <x:v>274</x:v>
      </x:c>
      <x:c r="H82" s="269"/>
    </x:row>
    <x:row r="83" ht="48" customHeight="1">
      <x:c r="A83" s="269" t="s">
        <x:v>311</x:v>
      </x:c>
      <x:c r="B83" s="102" t="n">
        <x:f>MAX(C83:D83)</x:f>
        <x:v>3</x:v>
      </x:c>
      <x:c r="C83" s="102">
        <x:v>2</x:v>
      </x:c>
      <x:c r="D83" s="102">
        <x:v>3</x:v>
      </x:c>
      <x:c r="E83" s="269" t="s">
        <x:v>228</x:v>
      </x:c>
      <x:c r="F83" s="269"/>
      <x:c r="G83" s="269" t="s">
        <x:v>229</x:v>
      </x:c>
      <x:c r="H83" s="269"/>
    </x:row>
    <x:row r="84" ht="48" customHeight="1">
      <x:c r="A84" s="269" t="s">
        <x:v>312</x:v>
      </x:c>
      <x:c r="B84" s="102" t="n">
        <x:f>MAX(C84:D84)</x:f>
        <x:v>2</x:v>
      </x:c>
      <x:c r="C84" s="102">
        <x:v>2</x:v>
      </x:c>
      <x:c r="D84" s="102">
        <x:v>2</x:v>
      </x:c>
      <x:c r="E84" s="269" t="s">
        <x:v>228</x:v>
      </x:c>
      <x:c r="F84" s="269"/>
      <x:c r="G84" s="269" t="s">
        <x:v>274</x:v>
      </x:c>
      <x:c r="H84" s="269"/>
    </x:row>
    <x:row r="85" ht="48" customHeight="1">
      <x:c r="A85" s="269" t="s">
        <x:v>313</x:v>
      </x:c>
      <x:c r="B85" s="102" t="n">
        <x:f>MAX(C85:D85)</x:f>
        <x:v>2</x:v>
      </x:c>
      <x:c r="C85" s="102">
        <x:v>2</x:v>
      </x:c>
      <x:c r="D85" s="102">
        <x:v>2</x:v>
      </x:c>
      <x:c r="E85" s="269" t="s">
        <x:v>228</x:v>
      </x:c>
      <x:c r="F85" s="269"/>
      <x:c r="G85" s="269" t="s">
        <x:v>274</x:v>
      </x:c>
      <x:c r="H85" s="269"/>
    </x:row>
    <x:row r="86" ht="48" customHeight="1">
      <x:c r="A86" s="269" t="s">
        <x:v>314</x:v>
      </x:c>
      <x:c r="B86" s="102" t="n">
        <x:f>MAX(C86:D86)</x:f>
        <x:v>2</x:v>
      </x:c>
      <x:c r="C86" s="102">
        <x:v>2</x:v>
      </x:c>
      <x:c r="D86" s="102">
        <x:v>2</x:v>
      </x:c>
      <x:c r="E86" s="269" t="s">
        <x:v>228</x:v>
      </x:c>
      <x:c r="F86" s="269"/>
      <x:c r="G86" s="269" t="s">
        <x:v>233</x:v>
      </x:c>
      <x:c r="H86" s="269"/>
    </x:row>
    <x:row r="87" ht="28.049999237060547" customHeight="1">
      <x:c r="A87" s="265" t="s">
        <x:v>315</x:v>
      </x:c>
      <x:c r="B87" s="266" t="n">
        <x:f>SUM(B89,B90,B91,B92,B93,B95,B96,B97,B98,B99,B100,B101,B102,B104,B105,B106,B107,B109,B110,B111,B112,B114,B115,B116,B117,B118,B119,B120,B121,B123,B124,B125,B126,B127,B128,B129,B130,B131,B132,B133,B134,B135,B136)</x:f>
        <x:v>92</x:v>
      </x:c>
      <x:c r="C87" s="266"/>
      <x:c r="D87" s="266"/>
      <x:c r="E87" s="265"/>
      <x:c r="F87" s="265"/>
      <x:c r="G87" s="265"/>
      <x:c r="H87" s="265"/>
    </x:row>
    <x:row r="88" ht="28.049999237060547" customHeight="1">
      <x:c r="A88" s="267" t="s">
        <x:v>316</x:v>
      </x:c>
      <x:c r="B88" s="268" t="n">
        <x:f>SUM(B89,B90,B91,B92,B93)</x:f>
        <x:v>13</x:v>
      </x:c>
      <x:c r="C88" s="268"/>
      <x:c r="D88" s="268"/>
      <x:c r="E88" s="267"/>
      <x:c r="F88" s="267"/>
      <x:c r="G88" s="267"/>
      <x:c r="H88" s="267"/>
    </x:row>
    <x:row r="89" ht="48" customHeight="1">
      <x:c r="A89" s="269" t="s">
        <x:v>317</x:v>
      </x:c>
      <x:c r="B89" s="102" t="n">
        <x:f>MAX(C89:D89)</x:f>
        <x:v>2</x:v>
      </x:c>
      <x:c r="C89" s="102">
        <x:v>2</x:v>
      </x:c>
      <x:c r="D89" s="102">
        <x:v>2</x:v>
      </x:c>
      <x:c r="E89" s="269" t="s">
        <x:v>228</x:v>
      </x:c>
      <x:c r="F89" s="269"/>
      <x:c r="G89" s="269" t="s">
        <x:v>229</x:v>
      </x:c>
      <x:c r="H89" s="269"/>
    </x:row>
    <x:row r="90" ht="48" customHeight="1">
      <x:c r="A90" s="269" t="s">
        <x:v>318</x:v>
      </x:c>
      <x:c r="B90" s="102" t="n">
        <x:f>MAX(C90:D90)</x:f>
        <x:v>2</x:v>
      </x:c>
      <x:c r="C90" s="102">
        <x:v>2</x:v>
      </x:c>
      <x:c r="D90" s="102">
        <x:v>2</x:v>
      </x:c>
      <x:c r="E90" s="269" t="s">
        <x:v>228</x:v>
      </x:c>
      <x:c r="F90" s="269"/>
      <x:c r="G90" s="269" t="s">
        <x:v>233</x:v>
      </x:c>
      <x:c r="H90" s="269"/>
    </x:row>
    <x:row r="91" ht="48" customHeight="1">
      <x:c r="A91" s="269" t="s">
        <x:v>319</x:v>
      </x:c>
      <x:c r="B91" s="102" t="n">
        <x:f>MAX(C91:D91)</x:f>
        <x:v>3</x:v>
      </x:c>
      <x:c r="C91" s="102">
        <x:v>3</x:v>
      </x:c>
      <x:c r="D91" s="102">
        <x:v>3</x:v>
      </x:c>
      <x:c r="E91" s="269" t="s">
        <x:v>238</x:v>
      </x:c>
      <x:c r="F91" s="269"/>
      <x:c r="G91" s="269" t="s">
        <x:v>320</x:v>
      </x:c>
      <x:c r="H91" s="269" t="s">
        <x:v>321</x:v>
      </x:c>
    </x:row>
    <x:row r="92" ht="48" customHeight="1">
      <x:c r="A92" s="269" t="s">
        <x:v>322</x:v>
      </x:c>
      <x:c r="B92" s="102" t="n">
        <x:f>MAX(C92:D92)</x:f>
        <x:v>3</x:v>
      </x:c>
      <x:c r="C92" s="102">
        <x:v>3</x:v>
      </x:c>
      <x:c r="D92" s="102">
        <x:v>3</x:v>
      </x:c>
      <x:c r="E92" s="269" t="s">
        <x:v>238</x:v>
      </x:c>
      <x:c r="F92" s="269"/>
      <x:c r="G92" s="269" t="s">
        <x:v>323</x:v>
      </x:c>
      <x:c r="H92" s="269" t="s">
        <x:v>324</x:v>
      </x:c>
    </x:row>
    <x:row r="93" ht="48" customHeight="1">
      <x:c r="A93" s="269" t="s">
        <x:v>325</x:v>
      </x:c>
      <x:c r="B93" s="102" t="n">
        <x:f>MAX(C93:D93)</x:f>
        <x:v>3</x:v>
      </x:c>
      <x:c r="C93" s="102">
        <x:v>2</x:v>
      </x:c>
      <x:c r="D93" s="102">
        <x:v>3</x:v>
      </x:c>
      <x:c r="E93" s="269" t="s">
        <x:v>228</x:v>
      </x:c>
      <x:c r="F93" s="269"/>
      <x:c r="G93" s="269" t="s">
        <x:v>229</x:v>
      </x:c>
      <x:c r="H93" s="269" t="s">
        <x:v>326</x:v>
      </x:c>
    </x:row>
    <x:row r="94" ht="28.049999237060547" customHeight="1">
      <x:c r="A94" s="267" t="s">
        <x:v>327</x:v>
      </x:c>
      <x:c r="B94" s="268" t="n">
        <x:f>SUM(B95,B96,B97,B98,B99,B100,B101,B102)</x:f>
        <x:v>16</x:v>
      </x:c>
      <x:c r="C94" s="268"/>
      <x:c r="D94" s="268"/>
      <x:c r="E94" s="267"/>
      <x:c r="F94" s="267"/>
      <x:c r="G94" s="267"/>
      <x:c r="H94" s="267"/>
    </x:row>
    <x:row r="95" ht="48" customHeight="1">
      <x:c r="A95" s="269" t="s">
        <x:v>328</x:v>
      </x:c>
      <x:c r="B95" s="102" t="n">
        <x:f>MAX(C95:D95)</x:f>
        <x:v>2</x:v>
      </x:c>
      <x:c r="C95" s="102">
        <x:v>2</x:v>
      </x:c>
      <x:c r="D95" s="102">
        <x:v>2</x:v>
      </x:c>
      <x:c r="E95" s="269" t="s">
        <x:v>228</x:v>
      </x:c>
      <x:c r="F95" s="269"/>
      <x:c r="G95" s="269" t="s">
        <x:v>242</x:v>
      </x:c>
      <x:c r="H95" s="269"/>
    </x:row>
    <x:row r="96" ht="48" customHeight="1">
      <x:c r="A96" s="269" t="s">
        <x:v>329</x:v>
      </x:c>
      <x:c r="B96" s="102" t="n">
        <x:f>MAX(C96:D96)</x:f>
        <x:v>2</x:v>
      </x:c>
      <x:c r="C96" s="102">
        <x:v>2</x:v>
      </x:c>
      <x:c r="D96" s="102">
        <x:v>2</x:v>
      </x:c>
      <x:c r="E96" s="269" t="s">
        <x:v>228</x:v>
      </x:c>
      <x:c r="F96" s="269"/>
      <x:c r="G96" s="269" t="s">
        <x:v>229</x:v>
      </x:c>
      <x:c r="H96" s="269" t="s">
        <x:v>326</x:v>
      </x:c>
    </x:row>
    <x:row r="97" ht="48" customHeight="1">
      <x:c r="A97" s="269" t="s">
        <x:v>330</x:v>
      </x:c>
      <x:c r="B97" s="102" t="n">
        <x:f>MAX(C97:D97)</x:f>
        <x:v>2</x:v>
      </x:c>
      <x:c r="C97" s="102">
        <x:v>2</x:v>
      </x:c>
      <x:c r="D97" s="102">
        <x:v>2</x:v>
      </x:c>
      <x:c r="E97" s="269" t="s">
        <x:v>228</x:v>
      </x:c>
      <x:c r="F97" s="269"/>
      <x:c r="G97" s="269" t="s">
        <x:v>242</x:v>
      </x:c>
      <x:c r="H97" s="269"/>
    </x:row>
    <x:row r="98" ht="48" customHeight="1">
      <x:c r="A98" s="269" t="s">
        <x:v>331</x:v>
      </x:c>
      <x:c r="B98" s="102" t="n">
        <x:f>MAX(C98:D98)</x:f>
        <x:v>1</x:v>
      </x:c>
      <x:c r="C98" s="102">
        <x:v>1</x:v>
      </x:c>
      <x:c r="D98" s="102">
        <x:v>1</x:v>
      </x:c>
      <x:c r="E98" s="269" t="s">
        <x:v>231</x:v>
      </x:c>
      <x:c r="F98" s="269"/>
      <x:c r="G98" s="269" t="s">
        <x:v>274</x:v>
      </x:c>
      <x:c r="H98" s="269"/>
    </x:row>
    <x:row r="99" ht="48" customHeight="1">
      <x:c r="A99" s="269" t="s">
        <x:v>332</x:v>
      </x:c>
      <x:c r="B99" s="102" t="n">
        <x:f>MAX(C99:D99)</x:f>
        <x:v>3</x:v>
      </x:c>
      <x:c r="C99" s="102">
        <x:v>2</x:v>
      </x:c>
      <x:c r="D99" s="102">
        <x:v>3</x:v>
      </x:c>
      <x:c r="E99" s="269" t="s">
        <x:v>228</x:v>
      </x:c>
      <x:c r="F99" s="269"/>
      <x:c r="G99" s="269" t="s">
        <x:v>242</x:v>
      </x:c>
      <x:c r="H99" s="269"/>
    </x:row>
    <x:row r="100" ht="48" customHeight="1">
      <x:c r="A100" s="269" t="s">
        <x:v>333</x:v>
      </x:c>
      <x:c r="B100" s="102" t="n">
        <x:f>MAX(C100:D100)</x:f>
        <x:v>2</x:v>
      </x:c>
      <x:c r="C100" s="102">
        <x:v>2</x:v>
      </x:c>
      <x:c r="D100" s="102">
        <x:v>2</x:v>
      </x:c>
      <x:c r="E100" s="269" t="s">
        <x:v>228</x:v>
      </x:c>
      <x:c r="F100" s="269"/>
      <x:c r="G100" s="269" t="s">
        <x:v>242</x:v>
      </x:c>
      <x:c r="H100" s="269" t="s">
        <x:v>334</x:v>
      </x:c>
    </x:row>
    <x:row r="101" ht="48" customHeight="1">
      <x:c r="A101" s="269" t="s">
        <x:v>335</x:v>
      </x:c>
      <x:c r="B101" s="102" t="n">
        <x:f>MAX(C101:D101)</x:f>
        <x:v>2</x:v>
      </x:c>
      <x:c r="C101" s="102">
        <x:v>1</x:v>
      </x:c>
      <x:c r="D101" s="102">
        <x:v>2</x:v>
      </x:c>
      <x:c r="E101" s="269" t="s">
        <x:v>231</x:v>
      </x:c>
      <x:c r="F101" s="269"/>
      <x:c r="G101" s="269" t="s">
        <x:v>242</x:v>
      </x:c>
      <x:c r="H101" s="269" t="s">
        <x:v>336</x:v>
      </x:c>
    </x:row>
    <x:row r="102" ht="48" customHeight="1">
      <x:c r="A102" s="269" t="s">
        <x:v>337</x:v>
      </x:c>
      <x:c r="B102" s="102" t="n">
        <x:f>MAX(C102:D102)</x:f>
        <x:v>2</x:v>
      </x:c>
      <x:c r="C102" s="102">
        <x:v>2</x:v>
      </x:c>
      <x:c r="D102" s="102">
        <x:v>2</x:v>
      </x:c>
      <x:c r="E102" s="269" t="s">
        <x:v>228</x:v>
      </x:c>
      <x:c r="F102" s="269"/>
      <x:c r="G102" s="269" t="s">
        <x:v>242</x:v>
      </x:c>
      <x:c r="H102" s="269" t="s">
        <x:v>336</x:v>
      </x:c>
    </x:row>
    <x:row r="103" ht="28.049999237060547" customHeight="1">
      <x:c r="A103" s="267" t="s">
        <x:v>338</x:v>
      </x:c>
      <x:c r="B103" s="268" t="n">
        <x:f>SUM(B104,B105,B106,B107)</x:f>
        <x:v>7</x:v>
      </x:c>
      <x:c r="C103" s="268"/>
      <x:c r="D103" s="268"/>
      <x:c r="E103" s="267"/>
      <x:c r="F103" s="267"/>
      <x:c r="G103" s="267"/>
      <x:c r="H103" s="267"/>
    </x:row>
    <x:row r="104" ht="48" customHeight="1">
      <x:c r="A104" s="269" t="s">
        <x:v>339</x:v>
      </x:c>
      <x:c r="B104" s="102" t="n">
        <x:f>MAX(C104:D104)</x:f>
        <x:v>2</x:v>
      </x:c>
      <x:c r="C104" s="102">
        <x:v>2</x:v>
      </x:c>
      <x:c r="D104" s="102">
        <x:v>2</x:v>
      </x:c>
      <x:c r="E104" s="269" t="s">
        <x:v>228</x:v>
      </x:c>
      <x:c r="F104" s="269"/>
      <x:c r="G104" s="269" t="s">
        <x:v>229</x:v>
      </x:c>
      <x:c r="H104" s="269"/>
    </x:row>
    <x:row r="105" ht="48" customHeight="1">
      <x:c r="A105" s="269" t="s">
        <x:v>340</x:v>
      </x:c>
      <x:c r="B105" s="102" t="n">
        <x:f>MAX(C105:D105)</x:f>
        <x:v>2</x:v>
      </x:c>
      <x:c r="C105" s="102">
        <x:v>2</x:v>
      </x:c>
      <x:c r="D105" s="102">
        <x:v>2</x:v>
      </x:c>
      <x:c r="E105" s="269" t="s">
        <x:v>228</x:v>
      </x:c>
      <x:c r="F105" s="269"/>
      <x:c r="G105" s="269" t="s">
        <x:v>242</x:v>
      </x:c>
      <x:c r="H105" s="269"/>
    </x:row>
    <x:row r="106" ht="48" customHeight="1">
      <x:c r="A106" s="269" t="s">
        <x:v>341</x:v>
      </x:c>
      <x:c r="B106" s="102" t="n">
        <x:f>MAX(C106:D106)</x:f>
        <x:v>1</x:v>
      </x:c>
      <x:c r="C106" s="102">
        <x:v>1</x:v>
      </x:c>
      <x:c r="D106" s="102">
        <x:v>1</x:v>
      </x:c>
      <x:c r="E106" s="269" t="s">
        <x:v>231</x:v>
      </x:c>
      <x:c r="F106" s="269"/>
      <x:c r="G106" s="269" t="s">
        <x:v>274</x:v>
      </x:c>
      <x:c r="H106" s="269"/>
    </x:row>
    <x:row r="107" ht="48" customHeight="1">
      <x:c r="A107" s="269" t="s">
        <x:v>342</x:v>
      </x:c>
      <x:c r="B107" s="102" t="n">
        <x:f>MAX(C107:D107)</x:f>
        <x:v>2</x:v>
      </x:c>
      <x:c r="C107" s="102">
        <x:v>1</x:v>
      </x:c>
      <x:c r="D107" s="102">
        <x:v>2</x:v>
      </x:c>
      <x:c r="E107" s="269" t="s">
        <x:v>231</x:v>
      </x:c>
      <x:c r="F107" s="269"/>
      <x:c r="G107" s="269" t="s">
        <x:v>274</x:v>
      </x:c>
      <x:c r="H107" s="269"/>
    </x:row>
    <x:row r="108" ht="28.049999237060547" customHeight="1">
      <x:c r="A108" s="267" t="s">
        <x:v>343</x:v>
      </x:c>
      <x:c r="B108" s="268" t="n">
        <x:f>SUM(B109,B110,B111,B112)</x:f>
        <x:v>9</x:v>
      </x:c>
      <x:c r="C108" s="268"/>
      <x:c r="D108" s="268"/>
      <x:c r="E108" s="267"/>
      <x:c r="F108" s="267"/>
      <x:c r="G108" s="267"/>
      <x:c r="H108" s="267"/>
    </x:row>
    <x:row r="109" ht="48" customHeight="1">
      <x:c r="A109" s="269" t="s">
        <x:v>344</x:v>
      </x:c>
      <x:c r="B109" s="102" t="n">
        <x:f>MAX(C109:D109)</x:f>
        <x:v>2</x:v>
      </x:c>
      <x:c r="C109" s="102">
        <x:v>2</x:v>
      </x:c>
      <x:c r="D109" s="102">
        <x:v>2</x:v>
      </x:c>
      <x:c r="E109" s="269" t="s">
        <x:v>228</x:v>
      </x:c>
      <x:c r="F109" s="269"/>
      <x:c r="G109" s="269" t="s">
        <x:v>323</x:v>
      </x:c>
      <x:c r="H109" s="269"/>
    </x:row>
    <x:row r="110" ht="48" customHeight="1">
      <x:c r="A110" s="269" t="s">
        <x:v>345</x:v>
      </x:c>
      <x:c r="B110" s="102" t="n">
        <x:f>MAX(C110:D110)</x:f>
        <x:v>2</x:v>
      </x:c>
      <x:c r="C110" s="102">
        <x:v>2</x:v>
      </x:c>
      <x:c r="D110" s="102">
        <x:v>2</x:v>
      </x:c>
      <x:c r="E110" s="269" t="s">
        <x:v>228</x:v>
      </x:c>
      <x:c r="F110" s="269"/>
      <x:c r="G110" s="269" t="s">
        <x:v>323</x:v>
      </x:c>
      <x:c r="H110" s="269"/>
    </x:row>
    <x:row r="111" ht="48" customHeight="1">
      <x:c r="A111" s="269" t="s">
        <x:v>346</x:v>
      </x:c>
      <x:c r="B111" s="102" t="n">
        <x:f>MAX(C111:D111)</x:f>
        <x:v>2</x:v>
      </x:c>
      <x:c r="C111" s="102">
        <x:v>2</x:v>
      </x:c>
      <x:c r="D111" s="102">
        <x:v>2</x:v>
      </x:c>
      <x:c r="E111" s="269" t="s">
        <x:v>228</x:v>
      </x:c>
      <x:c r="F111" s="269"/>
      <x:c r="G111" s="269" t="s">
        <x:v>323</x:v>
      </x:c>
      <x:c r="H111" s="269"/>
    </x:row>
    <x:row r="112" ht="48" customHeight="1">
      <x:c r="A112" s="269" t="s">
        <x:v>347</x:v>
      </x:c>
      <x:c r="B112" s="102" t="n">
        <x:f>MAX(C112:D112)</x:f>
        <x:v>3</x:v>
      </x:c>
      <x:c r="C112" s="102">
        <x:v>3</x:v>
      </x:c>
      <x:c r="D112" s="102">
        <x:v>3</x:v>
      </x:c>
      <x:c r="E112" s="269" t="s">
        <x:v>238</x:v>
      </x:c>
      <x:c r="F112" s="269"/>
      <x:c r="G112" s="269" t="s">
        <x:v>323</x:v>
      </x:c>
      <x:c r="H112" s="269"/>
    </x:row>
    <x:row r="113" ht="28.049999237060547" customHeight="1">
      <x:c r="A113" s="267" t="s">
        <x:v>348</x:v>
      </x:c>
      <x:c r="B113" s="268" t="n">
        <x:f>SUM(B114,B115,B116,B117,B118,B119,B120,B121)</x:f>
        <x:v>13</x:v>
      </x:c>
      <x:c r="C113" s="268"/>
      <x:c r="D113" s="268"/>
      <x:c r="E113" s="267"/>
      <x:c r="F113" s="267"/>
      <x:c r="G113" s="267"/>
      <x:c r="H113" s="267"/>
    </x:row>
    <x:row r="114" ht="48" customHeight="1">
      <x:c r="A114" s="269" t="s">
        <x:v>349</x:v>
      </x:c>
      <x:c r="B114" s="102" t="n">
        <x:f>MAX(C114:D114)</x:f>
        <x:v>2</x:v>
      </x:c>
      <x:c r="C114" s="102">
        <x:v>2</x:v>
      </x:c>
      <x:c r="D114" s="102">
        <x:v>2</x:v>
      </x:c>
      <x:c r="E114" s="269" t="s">
        <x:v>228</x:v>
      </x:c>
      <x:c r="F114" s="269"/>
      <x:c r="G114" s="269" t="s">
        <x:v>242</x:v>
      </x:c>
      <x:c r="H114" s="269"/>
    </x:row>
    <x:row r="115" ht="48" customHeight="1">
      <x:c r="A115" s="269" t="s">
        <x:v>350</x:v>
      </x:c>
      <x:c r="B115" s="102" t="n">
        <x:f>MAX(C115:D115)</x:f>
        <x:v>2</x:v>
      </x:c>
      <x:c r="C115" s="102">
        <x:v>2</x:v>
      </x:c>
      <x:c r="D115" s="102">
        <x:v>2</x:v>
      </x:c>
      <x:c r="E115" s="269" t="s">
        <x:v>228</x:v>
      </x:c>
      <x:c r="F115" s="269"/>
      <x:c r="G115" s="269" t="s">
        <x:v>242</x:v>
      </x:c>
      <x:c r="H115" s="269"/>
    </x:row>
    <x:row r="116" ht="48" customHeight="1">
      <x:c r="A116" s="269" t="s">
        <x:v>351</x:v>
      </x:c>
      <x:c r="B116" s="102" t="n">
        <x:f>MAX(C116:D116)</x:f>
        <x:v>1</x:v>
      </x:c>
      <x:c r="C116" s="102">
        <x:v>1</x:v>
      </x:c>
      <x:c r="D116" s="102">
        <x:v>1</x:v>
      </x:c>
      <x:c r="E116" s="269" t="s">
        <x:v>231</x:v>
      </x:c>
      <x:c r="F116" s="269"/>
      <x:c r="G116" s="269" t="s">
        <x:v>274</x:v>
      </x:c>
      <x:c r="H116" s="269"/>
    </x:row>
    <x:row r="117" ht="48" customHeight="1">
      <x:c r="A117" s="269" t="s">
        <x:v>352</x:v>
      </x:c>
      <x:c r="B117" s="102" t="n">
        <x:f>MAX(C117:D117)</x:f>
        <x:v>1</x:v>
      </x:c>
      <x:c r="C117" s="102">
        <x:v>1</x:v>
      </x:c>
      <x:c r="D117" s="102">
        <x:v>1</x:v>
      </x:c>
      <x:c r="E117" s="269" t="s">
        <x:v>231</x:v>
      </x:c>
      <x:c r="F117" s="269"/>
      <x:c r="G117" s="269" t="s">
        <x:v>274</x:v>
      </x:c>
      <x:c r="H117" s="269"/>
    </x:row>
    <x:row r="118" ht="48" customHeight="1">
      <x:c r="A118" s="269" t="s">
        <x:v>353</x:v>
      </x:c>
      <x:c r="B118" s="102" t="n">
        <x:f>MAX(C118:D118)</x:f>
        <x:v>1</x:v>
      </x:c>
      <x:c r="C118" s="102">
        <x:v>1</x:v>
      </x:c>
      <x:c r="D118" s="102">
        <x:v>1</x:v>
      </x:c>
      <x:c r="E118" s="269" t="s">
        <x:v>231</x:v>
      </x:c>
      <x:c r="F118" s="269"/>
      <x:c r="G118" s="269" t="s">
        <x:v>274</x:v>
      </x:c>
      <x:c r="H118" s="269"/>
    </x:row>
    <x:row r="119" ht="48" customHeight="1">
      <x:c r="A119" s="269" t="s">
        <x:v>354</x:v>
      </x:c>
      <x:c r="B119" s="102" t="n">
        <x:f>MAX(C119:D119)</x:f>
        <x:v>1</x:v>
      </x:c>
      <x:c r="C119" s="102">
        <x:v>1</x:v>
      </x:c>
      <x:c r="D119" s="102">
        <x:v>1</x:v>
      </x:c>
      <x:c r="E119" s="269" t="s">
        <x:v>231</x:v>
      </x:c>
      <x:c r="F119" s="269"/>
      <x:c r="G119" s="269" t="s">
        <x:v>274</x:v>
      </x:c>
      <x:c r="H119" s="269"/>
    </x:row>
    <x:row r="120" ht="48" customHeight="1">
      <x:c r="A120" s="269" t="s">
        <x:v>355</x:v>
      </x:c>
      <x:c r="B120" s="102" t="n">
        <x:f>MAX(C120:D120)</x:f>
        <x:v>2</x:v>
      </x:c>
      <x:c r="C120" s="102">
        <x:v>1</x:v>
      </x:c>
      <x:c r="D120" s="102">
        <x:v>2</x:v>
      </x:c>
      <x:c r="E120" s="269" t="s">
        <x:v>231</x:v>
      </x:c>
      <x:c r="F120" s="269"/>
      <x:c r="G120" s="269" t="s">
        <x:v>233</x:v>
      </x:c>
      <x:c r="H120" s="269"/>
    </x:row>
    <x:row r="121" ht="48" customHeight="1">
      <x:c r="A121" s="269" t="s">
        <x:v>356</x:v>
      </x:c>
      <x:c r="B121" s="102" t="n">
        <x:f>MAX(C121:D121)</x:f>
        <x:v>3</x:v>
      </x:c>
      <x:c r="C121" s="102">
        <x:v>2</x:v>
      </x:c>
      <x:c r="D121" s="102">
        <x:v>3</x:v>
      </x:c>
      <x:c r="E121" s="269" t="s">
        <x:v>228</x:v>
      </x:c>
      <x:c r="F121" s="269"/>
      <x:c r="G121" s="269" t="s">
        <x:v>242</x:v>
      </x:c>
      <x:c r="H121" s="269"/>
    </x:row>
    <x:row r="122" ht="28.049999237060547" customHeight="1">
      <x:c r="A122" s="267" t="s">
        <x:v>357</x:v>
      </x:c>
      <x:c r="B122" s="268" t="n">
        <x:f>SUM(B123,B124,B125,B126,B127,B128,B129,B130,B131,B132,B133,B134,B135,B136)</x:f>
        <x:v>34</x:v>
      </x:c>
      <x:c r="C122" s="268"/>
      <x:c r="D122" s="268"/>
      <x:c r="E122" s="267"/>
      <x:c r="F122" s="267"/>
      <x:c r="G122" s="267"/>
      <x:c r="H122" s="267"/>
    </x:row>
    <x:row r="123" ht="48" customHeight="1">
      <x:c r="A123" s="269" t="s">
        <x:v>358</x:v>
      </x:c>
      <x:c r="B123" s="102" t="n">
        <x:f>MAX(C123:D123)</x:f>
        <x:v>3</x:v>
      </x:c>
      <x:c r="C123" s="102">
        <x:v>3</x:v>
      </x:c>
      <x:c r="D123" s="102">
        <x:v>3</x:v>
      </x:c>
      <x:c r="E123" s="269" t="s">
        <x:v>238</x:v>
      </x:c>
      <x:c r="F123" s="269"/>
      <x:c r="G123" s="269" t="s">
        <x:v>229</x:v>
      </x:c>
      <x:c r="H123" s="269"/>
    </x:row>
    <x:row r="124" ht="48" customHeight="1">
      <x:c r="A124" s="269" t="s">
        <x:v>359</x:v>
      </x:c>
      <x:c r="B124" s="102" t="n">
        <x:f>MAX(C124:D124)</x:f>
        <x:v>2</x:v>
      </x:c>
      <x:c r="C124" s="102">
        <x:v>2</x:v>
      </x:c>
      <x:c r="D124" s="102">
        <x:v>2</x:v>
      </x:c>
      <x:c r="E124" s="269" t="s">
        <x:v>228</x:v>
      </x:c>
      <x:c r="F124" s="269"/>
      <x:c r="G124" s="269" t="s">
        <x:v>229</x:v>
      </x:c>
      <x:c r="H124" s="269"/>
    </x:row>
    <x:row r="125" ht="48" customHeight="1">
      <x:c r="A125" s="269" t="s">
        <x:v>360</x:v>
      </x:c>
      <x:c r="B125" s="102" t="n">
        <x:f>MAX(C125:D125)</x:f>
        <x:v>2</x:v>
      </x:c>
      <x:c r="C125" s="102">
        <x:v>2</x:v>
      </x:c>
      <x:c r="D125" s="102">
        <x:v>2</x:v>
      </x:c>
      <x:c r="E125" s="269" t="s">
        <x:v>228</x:v>
      </x:c>
      <x:c r="F125" s="269"/>
      <x:c r="G125" s="269" t="s">
        <x:v>229</x:v>
      </x:c>
      <x:c r="H125" s="269"/>
    </x:row>
    <x:row r="126" ht="48" customHeight="1">
      <x:c r="A126" s="269" t="s">
        <x:v>361</x:v>
      </x:c>
      <x:c r="B126" s="102" t="n">
        <x:f>MAX(C126:D126)</x:f>
        <x:v>2</x:v>
      </x:c>
      <x:c r="C126" s="102">
        <x:v>2</x:v>
      </x:c>
      <x:c r="D126" s="102">
        <x:v>2</x:v>
      </x:c>
      <x:c r="E126" s="269" t="s">
        <x:v>228</x:v>
      </x:c>
      <x:c r="F126" s="269"/>
      <x:c r="G126" s="269" t="s">
        <x:v>229</x:v>
      </x:c>
      <x:c r="H126" s="269"/>
    </x:row>
    <x:row r="127" ht="48" customHeight="1">
      <x:c r="A127" s="269" t="s">
        <x:v>362</x:v>
      </x:c>
      <x:c r="B127" s="102" t="n">
        <x:f>MAX(C127:D127)</x:f>
        <x:v>3</x:v>
      </x:c>
      <x:c r="C127" s="102">
        <x:v>3</x:v>
      </x:c>
      <x:c r="D127" s="102">
        <x:v>3</x:v>
      </x:c>
      <x:c r="E127" s="269" t="s">
        <x:v>238</x:v>
      </x:c>
      <x:c r="F127" s="269"/>
      <x:c r="G127" s="269" t="s">
        <x:v>323</x:v>
      </x:c>
      <x:c r="H127" s="269" t="s">
        <x:v>324</x:v>
      </x:c>
    </x:row>
    <x:row r="128" ht="48" customHeight="1">
      <x:c r="A128" s="269" t="s">
        <x:v>363</x:v>
      </x:c>
      <x:c r="B128" s="102" t="n">
        <x:f>MAX(C128:D128)</x:f>
        <x:v>3</x:v>
      </x:c>
      <x:c r="C128" s="102">
        <x:v>3</x:v>
      </x:c>
      <x:c r="D128" s="102">
        <x:v>3</x:v>
      </x:c>
      <x:c r="E128" s="269" t="s">
        <x:v>238</x:v>
      </x:c>
      <x:c r="F128" s="269"/>
      <x:c r="G128" s="269" t="s">
        <x:v>323</x:v>
      </x:c>
      <x:c r="H128" s="269"/>
    </x:row>
    <x:row r="129" ht="48" customHeight="1">
      <x:c r="A129" s="269" t="s">
        <x:v>364</x:v>
      </x:c>
      <x:c r="B129" s="102" t="n">
        <x:f>MAX(C129:D129)</x:f>
        <x:v>2</x:v>
      </x:c>
      <x:c r="C129" s="102">
        <x:v>2</x:v>
      </x:c>
      <x:c r="D129" s="102">
        <x:v>2</x:v>
      </x:c>
      <x:c r="E129" s="269" t="s">
        <x:v>228</x:v>
      </x:c>
      <x:c r="F129" s="269"/>
      <x:c r="G129" s="269" t="s">
        <x:v>235</x:v>
      </x:c>
      <x:c r="H129" s="269"/>
    </x:row>
    <x:row r="130" ht="48" customHeight="1">
      <x:c r="A130" s="269" t="s">
        <x:v>365</x:v>
      </x:c>
      <x:c r="B130" s="102" t="n">
        <x:f>MAX(C130:D130)</x:f>
        <x:v>3</x:v>
      </x:c>
      <x:c r="C130" s="102">
        <x:v>2</x:v>
      </x:c>
      <x:c r="D130" s="102">
        <x:v>3</x:v>
      </x:c>
      <x:c r="E130" s="269" t="s">
        <x:v>228</x:v>
      </x:c>
      <x:c r="F130" s="269"/>
      <x:c r="G130" s="269" t="s">
        <x:v>258</x:v>
      </x:c>
      <x:c r="H130" s="269"/>
    </x:row>
    <x:row r="131" ht="48" customHeight="1">
      <x:c r="A131" s="269" t="s">
        <x:v>366</x:v>
      </x:c>
      <x:c r="B131" s="102" t="n">
        <x:f>MAX(C131:D131)</x:f>
        <x:v>2</x:v>
      </x:c>
      <x:c r="C131" s="102">
        <x:v>1</x:v>
      </x:c>
      <x:c r="D131" s="102">
        <x:v>2</x:v>
      </x:c>
      <x:c r="E131" s="269" t="s">
        <x:v>231</x:v>
      </x:c>
      <x:c r="F131" s="269"/>
      <x:c r="G131" s="269" t="s">
        <x:v>229</x:v>
      </x:c>
      <x:c r="H131" s="269"/>
    </x:row>
    <x:row r="132" ht="48" customHeight="1">
      <x:c r="A132" s="269" t="s">
        <x:v>367</x:v>
      </x:c>
      <x:c r="B132" s="102" t="n">
        <x:f>MAX(C132:D132)</x:f>
        <x:v>3</x:v>
      </x:c>
      <x:c r="C132" s="102">
        <x:v>3</x:v>
      </x:c>
      <x:c r="D132" s="102">
        <x:v>3</x:v>
      </x:c>
      <x:c r="E132" s="269" t="s">
        <x:v>238</x:v>
      </x:c>
      <x:c r="F132" s="269"/>
      <x:c r="G132" s="269" t="s">
        <x:v>320</x:v>
      </x:c>
      <x:c r="H132" s="269" t="s">
        <x:v>321</x:v>
      </x:c>
    </x:row>
    <x:row r="133" ht="48" customHeight="1">
      <x:c r="A133" s="269" t="s">
        <x:v>368</x:v>
      </x:c>
      <x:c r="B133" s="102" t="n">
        <x:f>MAX(C133:D133)</x:f>
        <x:v>3</x:v>
      </x:c>
      <x:c r="C133" s="102">
        <x:v>3</x:v>
      </x:c>
      <x:c r="D133" s="102">
        <x:v>3</x:v>
      </x:c>
      <x:c r="E133" s="269" t="s">
        <x:v>238</x:v>
      </x:c>
      <x:c r="F133" s="269"/>
      <x:c r="G133" s="269" t="s">
        <x:v>258</x:v>
      </x:c>
      <x:c r="H133" s="269"/>
    </x:row>
    <x:row r="134" ht="48" customHeight="1">
      <x:c r="A134" s="269" t="s">
        <x:v>369</x:v>
      </x:c>
      <x:c r="B134" s="102" t="n">
        <x:f>MAX(C134:D134)</x:f>
        <x:v>2</x:v>
      </x:c>
      <x:c r="C134" s="102">
        <x:v>2</x:v>
      </x:c>
      <x:c r="D134" s="102">
        <x:v>2</x:v>
      </x:c>
      <x:c r="E134" s="269" t="s">
        <x:v>228</x:v>
      </x:c>
      <x:c r="F134" s="269"/>
      <x:c r="G134" s="269" t="s">
        <x:v>233</x:v>
      </x:c>
      <x:c r="H134" s="269"/>
    </x:row>
    <x:row r="135" ht="48" customHeight="1">
      <x:c r="A135" s="269" t="s">
        <x:v>370</x:v>
      </x:c>
      <x:c r="B135" s="102" t="n">
        <x:f>MAX(C135:D135)</x:f>
        <x:v>2</x:v>
      </x:c>
      <x:c r="C135" s="102">
        <x:v>1</x:v>
      </x:c>
      <x:c r="D135" s="102">
        <x:v>2</x:v>
      </x:c>
      <x:c r="E135" s="269" t="s">
        <x:v>231</x:v>
      </x:c>
      <x:c r="F135" s="269"/>
      <x:c r="G135" s="269" t="s">
        <x:v>233</x:v>
      </x:c>
      <x:c r="H135" s="269"/>
    </x:row>
    <x:row r="136" ht="48" customHeight="1">
      <x:c r="A136" s="269" t="s">
        <x:v>371</x:v>
      </x:c>
      <x:c r="B136" s="102" t="n">
        <x:f>MAX(C136:D136)</x:f>
        <x:v>2</x:v>
      </x:c>
      <x:c r="C136" s="102">
        <x:v>2</x:v>
      </x:c>
      <x:c r="D136" s="102">
        <x:v>2</x:v>
      </x:c>
      <x:c r="E136" s="269" t="s">
        <x:v>228</x:v>
      </x:c>
      <x:c r="F136" s="269"/>
      <x:c r="G136" s="269" t="s">
        <x:v>274</x:v>
      </x:c>
      <x:c r="H136" s="269"/>
    </x:row>
    <x:row r="137" ht="28.049999237060547" customHeight="1">
      <x:c r="A137" s="265" t="s">
        <x:v>372</x:v>
      </x:c>
      <x:c r="B137" s="266" t="n">
        <x:f>SUM(B139,B140,B141,B142,B143,B144,B145,B146,B148,B149,B150,B151)</x:f>
        <x:v>26</x:v>
      </x:c>
      <x:c r="C137" s="266"/>
      <x:c r="D137" s="266"/>
      <x:c r="E137" s="265"/>
      <x:c r="F137" s="265"/>
      <x:c r="G137" s="265"/>
      <x:c r="H137" s="265"/>
    </x:row>
    <x:row r="138" ht="28.049999237060547" customHeight="1">
      <x:c r="A138" s="267" t="s">
        <x:v>373</x:v>
      </x:c>
      <x:c r="B138" s="268" t="n">
        <x:f>SUM(B139,B140,B141,B142,B143,B144,B145,B146)</x:f>
        <x:v>19</x:v>
      </x:c>
      <x:c r="C138" s="268"/>
      <x:c r="D138" s="268"/>
      <x:c r="E138" s="267"/>
      <x:c r="F138" s="267"/>
      <x:c r="G138" s="267"/>
      <x:c r="H138" s="267"/>
    </x:row>
    <x:row r="139" ht="48" customHeight="1">
      <x:c r="A139" s="269" t="s">
        <x:v>374</x:v>
      </x:c>
      <x:c r="B139" s="102" t="n">
        <x:f>MAX(C139:D139)</x:f>
        <x:v>2</x:v>
      </x:c>
      <x:c r="C139" s="102">
        <x:v>2</x:v>
      </x:c>
      <x:c r="D139" s="102">
        <x:v>1</x:v>
      </x:c>
      <x:c r="E139" s="269" t="s">
        <x:v>228</x:v>
      </x:c>
      <x:c r="F139" s="269"/>
      <x:c r="G139" s="269" t="s">
        <x:v>242</x:v>
      </x:c>
      <x:c r="H139" s="269"/>
    </x:row>
    <x:row r="140" ht="48" customHeight="1">
      <x:c r="A140" s="269" t="s">
        <x:v>375</x:v>
      </x:c>
      <x:c r="B140" s="102" t="n">
        <x:f>MAX(C140:D140)</x:f>
        <x:v>3</x:v>
      </x:c>
      <x:c r="C140" s="102">
        <x:v>2</x:v>
      </x:c>
      <x:c r="D140" s="102">
        <x:v>3</x:v>
      </x:c>
      <x:c r="E140" s="269" t="s">
        <x:v>228</x:v>
      </x:c>
      <x:c r="F140" s="269"/>
      <x:c r="G140" s="269" t="s">
        <x:v>235</x:v>
      </x:c>
      <x:c r="H140" s="269"/>
    </x:row>
    <x:row r="141" ht="48" customHeight="1">
      <x:c r="A141" s="269" t="s">
        <x:v>376</x:v>
      </x:c>
      <x:c r="B141" s="102" t="n">
        <x:f>MAX(C141:D141)</x:f>
        <x:v>2</x:v>
      </x:c>
      <x:c r="C141" s="102">
        <x:v>1</x:v>
      </x:c>
      <x:c r="D141" s="102">
        <x:v>2</x:v>
      </x:c>
      <x:c r="E141" s="269" t="s">
        <x:v>231</x:v>
      </x:c>
      <x:c r="F141" s="269"/>
      <x:c r="G141" s="269" t="s">
        <x:v>233</x:v>
      </x:c>
      <x:c r="H141" s="269"/>
    </x:row>
    <x:row r="142" ht="48" customHeight="1">
      <x:c r="A142" s="269" t="s">
        <x:v>377</x:v>
      </x:c>
      <x:c r="B142" s="102" t="n">
        <x:f>MAX(C142:D142)</x:f>
        <x:v>3</x:v>
      </x:c>
      <x:c r="C142" s="102">
        <x:v>3</x:v>
      </x:c>
      <x:c r="D142" s="102">
        <x:v>2</x:v>
      </x:c>
      <x:c r="E142" s="269" t="s">
        <x:v>238</x:v>
      </x:c>
      <x:c r="F142" s="269"/>
      <x:c r="G142" s="269" t="s">
        <x:v>242</x:v>
      </x:c>
      <x:c r="H142" s="269"/>
    </x:row>
    <x:row r="143" ht="48" customHeight="1">
      <x:c r="A143" s="269" t="s">
        <x:v>378</x:v>
      </x:c>
      <x:c r="B143" s="102" t="n">
        <x:f>MAX(C143:D143)</x:f>
        <x:v>2</x:v>
      </x:c>
      <x:c r="C143" s="102">
        <x:v>1</x:v>
      </x:c>
      <x:c r="D143" s="102">
        <x:v>2</x:v>
      </x:c>
      <x:c r="E143" s="269" t="s">
        <x:v>231</x:v>
      </x:c>
      <x:c r="F143" s="269"/>
      <x:c r="G143" s="269" t="s">
        <x:v>274</x:v>
      </x:c>
      <x:c r="H143" s="269"/>
    </x:row>
    <x:row r="144" ht="48" customHeight="1">
      <x:c r="A144" s="269" t="s">
        <x:v>379</x:v>
      </x:c>
      <x:c r="B144" s="102" t="n">
        <x:f>MAX(C144:D144)</x:f>
        <x:v>3</x:v>
      </x:c>
      <x:c r="C144" s="102">
        <x:v>2</x:v>
      </x:c>
      <x:c r="D144" s="102">
        <x:v>3</x:v>
      </x:c>
      <x:c r="E144" s="269" t="s">
        <x:v>228</x:v>
      </x:c>
      <x:c r="F144" s="269"/>
      <x:c r="G144" s="269" t="s">
        <x:v>229</x:v>
      </x:c>
      <x:c r="H144" s="269"/>
    </x:row>
    <x:row r="145" ht="48" customHeight="1">
      <x:c r="A145" s="269" t="s">
        <x:v>380</x:v>
      </x:c>
      <x:c r="B145" s="102" t="n">
        <x:f>MAX(C145:D145)</x:f>
        <x:v>2</x:v>
      </x:c>
      <x:c r="C145" s="102">
        <x:v>2</x:v>
      </x:c>
      <x:c r="D145" s="102">
        <x:v>2</x:v>
      </x:c>
      <x:c r="E145" s="269" t="s">
        <x:v>228</x:v>
      </x:c>
      <x:c r="F145" s="269"/>
      <x:c r="G145" s="269" t="s">
        <x:v>323</x:v>
      </x:c>
      <x:c r="H145" s="269"/>
    </x:row>
    <x:row r="146" ht="48" customHeight="1">
      <x:c r="A146" s="269" t="s">
        <x:v>381</x:v>
      </x:c>
      <x:c r="B146" s="102" t="n">
        <x:f>MAX(C146:D146)</x:f>
        <x:v>2</x:v>
      </x:c>
      <x:c r="C146" s="102">
        <x:v>2</x:v>
      </x:c>
      <x:c r="D146" s="102">
        <x:v>2</x:v>
      </x:c>
      <x:c r="E146" s="269" t="s">
        <x:v>228</x:v>
      </x:c>
      <x:c r="F146" s="269"/>
      <x:c r="G146" s="269" t="s">
        <x:v>242</x:v>
      </x:c>
      <x:c r="H146" s="269"/>
    </x:row>
    <x:row r="147" ht="28.049999237060547" customHeight="1">
      <x:c r="A147" s="267" t="s">
        <x:v>382</x:v>
      </x:c>
      <x:c r="B147" s="268" t="n">
        <x:f>SUM(B148,B149,B150,B151)</x:f>
        <x:v>7</x:v>
      </x:c>
      <x:c r="C147" s="268"/>
      <x:c r="D147" s="268"/>
      <x:c r="E147" s="267"/>
      <x:c r="F147" s="267"/>
      <x:c r="G147" s="267"/>
      <x:c r="H147" s="267"/>
    </x:row>
    <x:row r="148" ht="48" customHeight="1">
      <x:c r="A148" s="269" t="s">
        <x:v>383</x:v>
      </x:c>
      <x:c r="B148" s="102" t="n">
        <x:f>MAX(C148:D148)</x:f>
        <x:v>2</x:v>
      </x:c>
      <x:c r="C148" s="102">
        <x:v>2</x:v>
      </x:c>
      <x:c r="D148" s="102">
        <x:v>2</x:v>
      </x:c>
      <x:c r="E148" s="269" t="s">
        <x:v>228</x:v>
      </x:c>
      <x:c r="F148" s="269"/>
      <x:c r="G148" s="269" t="s">
        <x:v>229</x:v>
      </x:c>
      <x:c r="H148" s="269"/>
    </x:row>
    <x:row r="149" ht="48" customHeight="1">
      <x:c r="A149" s="269" t="s">
        <x:v>384</x:v>
      </x:c>
      <x:c r="B149" s="102" t="n">
        <x:f>MAX(C149:D149)</x:f>
        <x:v>2</x:v>
      </x:c>
      <x:c r="C149" s="102">
        <x:v>1</x:v>
      </x:c>
      <x:c r="D149" s="102">
        <x:v>2</x:v>
      </x:c>
      <x:c r="E149" s="269" t="s">
        <x:v>231</x:v>
      </x:c>
      <x:c r="F149" s="269"/>
      <x:c r="G149" s="269" t="s">
        <x:v>274</x:v>
      </x:c>
      <x:c r="H149" s="269" t="s">
        <x:v>324</x:v>
      </x:c>
    </x:row>
    <x:row r="150" ht="48" customHeight="1">
      <x:c r="A150" s="269" t="s">
        <x:v>385</x:v>
      </x:c>
      <x:c r="B150" s="102" t="n">
        <x:f>MAX(C150:D150)</x:f>
        <x:v>1</x:v>
      </x:c>
      <x:c r="C150" s="102">
        <x:v>1</x:v>
      </x:c>
      <x:c r="D150" s="102">
        <x:v>1</x:v>
      </x:c>
      <x:c r="E150" s="269" t="s">
        <x:v>231</x:v>
      </x:c>
      <x:c r="F150" s="269"/>
      <x:c r="G150" s="269" t="s">
        <x:v>233</x:v>
      </x:c>
      <x:c r="H150" s="269"/>
    </x:row>
    <x:row r="151" ht="48" customHeight="1">
      <x:c r="A151" s="269" t="s">
        <x:v>386</x:v>
      </x:c>
      <x:c r="B151" s="102" t="n">
        <x:f>MAX(C151:D151)</x:f>
        <x:v>2</x:v>
      </x:c>
      <x:c r="C151" s="102">
        <x:v>2</x:v>
      </x:c>
      <x:c r="D151" s="102">
        <x:v>2</x:v>
      </x:c>
      <x:c r="E151" s="269" t="s">
        <x:v>228</x:v>
      </x:c>
      <x:c r="F151" s="269"/>
      <x:c r="G151" s="269" t="s">
        <x:v>229</x:v>
      </x:c>
      <x:c r="H151" s="269"/>
    </x:row>
    <x:row r="152" ht="28.049999237060547" customHeight="1">
      <x:c r="A152" s="265" t="s">
        <x:v>387</x:v>
      </x:c>
      <x:c r="B152" s="266" t="n">
        <x:f>SUM(B154,B155,B156,B158,B159,B160,B161,B163,B164,B165,B166,B168,B169,B170,B171,B172)</x:f>
        <x:v>37</x:v>
      </x:c>
      <x:c r="C152" s="266"/>
      <x:c r="D152" s="266"/>
      <x:c r="E152" s="265"/>
      <x:c r="F152" s="265"/>
      <x:c r="G152" s="265"/>
      <x:c r="H152" s="265"/>
    </x:row>
    <x:row r="153" ht="28.049999237060547" customHeight="1">
      <x:c r="A153" s="267" t="s">
        <x:v>388</x:v>
      </x:c>
      <x:c r="B153" s="268" t="n">
        <x:f>SUM(B154,B155,B156)</x:f>
        <x:v>7</x:v>
      </x:c>
      <x:c r="C153" s="268"/>
      <x:c r="D153" s="268"/>
      <x:c r="E153" s="267"/>
      <x:c r="F153" s="267"/>
      <x:c r="G153" s="267"/>
      <x:c r="H153" s="267"/>
    </x:row>
    <x:row r="154" ht="48" customHeight="1">
      <x:c r="A154" s="269" t="s">
        <x:v>389</x:v>
      </x:c>
      <x:c r="B154" s="102" t="n">
        <x:f>MAX(C154:D154)</x:f>
        <x:v>2</x:v>
      </x:c>
      <x:c r="C154" s="102">
        <x:v>2</x:v>
      </x:c>
      <x:c r="D154" s="102">
        <x:v>2</x:v>
      </x:c>
      <x:c r="E154" s="269" t="s">
        <x:v>228</x:v>
      </x:c>
      <x:c r="F154" s="269"/>
      <x:c r="G154" s="269" t="s">
        <x:v>242</x:v>
      </x:c>
      <x:c r="H154" s="269"/>
    </x:row>
    <x:row r="155" ht="48" customHeight="1">
      <x:c r="A155" s="269" t="s">
        <x:v>390</x:v>
      </x:c>
      <x:c r="B155" s="102" t="n">
        <x:f>MAX(C155:D155)</x:f>
        <x:v>3</x:v>
      </x:c>
      <x:c r="C155" s="102">
        <x:v>2</x:v>
      </x:c>
      <x:c r="D155" s="102">
        <x:v>3</x:v>
      </x:c>
      <x:c r="E155" s="269" t="s">
        <x:v>228</x:v>
      </x:c>
      <x:c r="F155" s="269"/>
      <x:c r="G155" s="269" t="s">
        <x:v>242</x:v>
      </x:c>
      <x:c r="H155" s="269"/>
    </x:row>
    <x:row r="156" ht="48" customHeight="1">
      <x:c r="A156" s="269" t="s">
        <x:v>391</x:v>
      </x:c>
      <x:c r="B156" s="102" t="n">
        <x:f>MAX(C156:D156)</x:f>
        <x:v>2</x:v>
      </x:c>
      <x:c r="C156" s="102">
        <x:v>1</x:v>
      </x:c>
      <x:c r="D156" s="102">
        <x:v>2</x:v>
      </x:c>
      <x:c r="E156" s="269" t="s">
        <x:v>231</x:v>
      </x:c>
      <x:c r="F156" s="269"/>
      <x:c r="G156" s="269" t="s">
        <x:v>274</x:v>
      </x:c>
      <x:c r="H156" s="269"/>
    </x:row>
    <x:row r="157" ht="28.049999237060547" customHeight="1">
      <x:c r="A157" s="267" t="s">
        <x:v>392</x:v>
      </x:c>
      <x:c r="B157" s="268" t="n">
        <x:f>SUM(B158,B159,B160,B161)</x:f>
        <x:v>10</x:v>
      </x:c>
      <x:c r="C157" s="268"/>
      <x:c r="D157" s="268"/>
      <x:c r="E157" s="267"/>
      <x:c r="F157" s="267"/>
      <x:c r="G157" s="267"/>
      <x:c r="H157" s="267"/>
    </x:row>
    <x:row r="158" ht="48" customHeight="1">
      <x:c r="A158" s="269" t="s">
        <x:v>393</x:v>
      </x:c>
      <x:c r="B158" s="102" t="n">
        <x:f>MAX(C158:D158)</x:f>
        <x:v>3</x:v>
      </x:c>
      <x:c r="C158" s="102">
        <x:v>3</x:v>
      </x:c>
      <x:c r="D158" s="102">
        <x:v>3</x:v>
      </x:c>
      <x:c r="E158" s="269" t="s">
        <x:v>238</x:v>
      </x:c>
      <x:c r="F158" s="269"/>
      <x:c r="G158" s="269" t="s">
        <x:v>320</x:v>
      </x:c>
      <x:c r="H158" s="269" t="s">
        <x:v>326</x:v>
      </x:c>
    </x:row>
    <x:row r="159" ht="48" customHeight="1">
      <x:c r="A159" s="269" t="s">
        <x:v>394</x:v>
      </x:c>
      <x:c r="B159" s="102" t="n">
        <x:f>MAX(C159:D159)</x:f>
        <x:v>2</x:v>
      </x:c>
      <x:c r="C159" s="102">
        <x:v>2</x:v>
      </x:c>
      <x:c r="D159" s="102">
        <x:v>2</x:v>
      </x:c>
      <x:c r="E159" s="269" t="s">
        <x:v>228</x:v>
      </x:c>
      <x:c r="F159" s="269"/>
      <x:c r="G159" s="269" t="s">
        <x:v>233</x:v>
      </x:c>
      <x:c r="H159" s="269"/>
    </x:row>
    <x:row r="160" ht="48" customHeight="1">
      <x:c r="A160" s="269" t="s">
        <x:v>395</x:v>
      </x:c>
      <x:c r="B160" s="102" t="n">
        <x:f>MAX(C160:D160)</x:f>
        <x:v>2</x:v>
      </x:c>
      <x:c r="C160" s="102">
        <x:v>2</x:v>
      </x:c>
      <x:c r="D160" s="102">
        <x:v>2</x:v>
      </x:c>
      <x:c r="E160" s="269" t="s">
        <x:v>228</x:v>
      </x:c>
      <x:c r="F160" s="269"/>
      <x:c r="G160" s="269" t="s">
        <x:v>229</x:v>
      </x:c>
      <x:c r="H160" s="269"/>
    </x:row>
    <x:row r="161" ht="48" customHeight="1">
      <x:c r="A161" s="269" t="s">
        <x:v>396</x:v>
      </x:c>
      <x:c r="B161" s="102" t="n">
        <x:f>MAX(C161:D161)</x:f>
        <x:v>3</x:v>
      </x:c>
      <x:c r="C161" s="102">
        <x:v>2</x:v>
      </x:c>
      <x:c r="D161" s="102">
        <x:v>3</x:v>
      </x:c>
      <x:c r="E161" s="269" t="s">
        <x:v>228</x:v>
      </x:c>
      <x:c r="F161" s="269"/>
      <x:c r="G161" s="269" t="s">
        <x:v>235</x:v>
      </x:c>
      <x:c r="H161" s="269"/>
    </x:row>
    <x:row r="162" ht="28.049999237060547" customHeight="1">
      <x:c r="A162" s="267" t="s">
        <x:v>397</x:v>
      </x:c>
      <x:c r="B162" s="268" t="n">
        <x:f>SUM(B163,B164,B165,B166)</x:f>
        <x:v>9</x:v>
      </x:c>
      <x:c r="C162" s="268"/>
      <x:c r="D162" s="268"/>
      <x:c r="E162" s="267"/>
      <x:c r="F162" s="267"/>
      <x:c r="G162" s="267"/>
      <x:c r="H162" s="267"/>
    </x:row>
    <x:row r="163" ht="48" customHeight="1">
      <x:c r="A163" s="269" t="s">
        <x:v>398</x:v>
      </x:c>
      <x:c r="B163" s="102" t="n">
        <x:f>MAX(C163:D163)</x:f>
        <x:v>3</x:v>
      </x:c>
      <x:c r="C163" s="102">
        <x:v>3</x:v>
      </x:c>
      <x:c r="D163" s="102">
        <x:v>3</x:v>
      </x:c>
      <x:c r="E163" s="269" t="s">
        <x:v>238</x:v>
      </x:c>
      <x:c r="F163" s="269"/>
      <x:c r="G163" s="269" t="s">
        <x:v>399</x:v>
      </x:c>
      <x:c r="H163" s="269"/>
    </x:row>
    <x:row r="164" ht="48" customHeight="1">
      <x:c r="A164" s="269" t="s">
        <x:v>400</x:v>
      </x:c>
      <x:c r="B164" s="102" t="n">
        <x:f>MAX(C164:D164)</x:f>
        <x:v>2</x:v>
      </x:c>
      <x:c r="C164" s="102">
        <x:v>2</x:v>
      </x:c>
      <x:c r="D164" s="102">
        <x:v>1</x:v>
      </x:c>
      <x:c r="E164" s="269" t="s">
        <x:v>228</x:v>
      </x:c>
      <x:c r="F164" s="269"/>
      <x:c r="G164" s="269" t="s">
        <x:v>242</x:v>
      </x:c>
      <x:c r="H164" s="269"/>
    </x:row>
    <x:row r="165" ht="48" customHeight="1">
      <x:c r="A165" s="269" t="s">
        <x:v>401</x:v>
      </x:c>
      <x:c r="B165" s="102" t="n">
        <x:f>MAX(C165:D165)</x:f>
        <x:v>2</x:v>
      </x:c>
      <x:c r="C165" s="102">
        <x:v>2</x:v>
      </x:c>
      <x:c r="D165" s="102">
        <x:v>2</x:v>
      </x:c>
      <x:c r="E165" s="269" t="s">
        <x:v>228</x:v>
      </x:c>
      <x:c r="F165" s="269"/>
      <x:c r="G165" s="269" t="s">
        <x:v>274</x:v>
      </x:c>
      <x:c r="H165" s="269"/>
    </x:row>
    <x:row r="166" ht="48" customHeight="1">
      <x:c r="A166" s="269" t="s">
        <x:v>402</x:v>
      </x:c>
      <x:c r="B166" s="102" t="n">
        <x:f>MAX(C166:D166)</x:f>
        <x:v>2</x:v>
      </x:c>
      <x:c r="C166" s="102">
        <x:v>2</x:v>
      </x:c>
      <x:c r="D166" s="102">
        <x:v>2</x:v>
      </x:c>
      <x:c r="E166" s="269" t="s">
        <x:v>228</x:v>
      </x:c>
      <x:c r="F166" s="269"/>
      <x:c r="G166" s="269" t="s">
        <x:v>233</x:v>
      </x:c>
      <x:c r="H166" s="269"/>
    </x:row>
    <x:row r="167" ht="28.049999237060547" customHeight="1">
      <x:c r="A167" s="267" t="s">
        <x:v>403</x:v>
      </x:c>
      <x:c r="B167" s="268" t="n">
        <x:f>SUM(B168,B169,B170,B171,B172)</x:f>
        <x:v>11</x:v>
      </x:c>
      <x:c r="C167" s="268"/>
      <x:c r="D167" s="268"/>
      <x:c r="E167" s="267"/>
      <x:c r="F167" s="267"/>
      <x:c r="G167" s="267"/>
      <x:c r="H167" s="267"/>
    </x:row>
    <x:row r="168" ht="48" customHeight="1">
      <x:c r="A168" s="269" t="s">
        <x:v>404</x:v>
      </x:c>
      <x:c r="B168" s="102" t="n">
        <x:f>MAX(C168:D168)</x:f>
        <x:v>2</x:v>
      </x:c>
      <x:c r="C168" s="102">
        <x:v>2</x:v>
      </x:c>
      <x:c r="D168" s="102">
        <x:v>1</x:v>
      </x:c>
      <x:c r="E168" s="269" t="s">
        <x:v>228</x:v>
      </x:c>
      <x:c r="F168" s="269"/>
      <x:c r="G168" s="269" t="s">
        <x:v>242</x:v>
      </x:c>
      <x:c r="H168" s="269"/>
    </x:row>
    <x:row r="169" ht="48" customHeight="1">
      <x:c r="A169" s="269" t="s">
        <x:v>405</x:v>
      </x:c>
      <x:c r="B169" s="102" t="n">
        <x:f>MAX(C169:D169)</x:f>
        <x:v>2</x:v>
      </x:c>
      <x:c r="C169" s="102">
        <x:v>2</x:v>
      </x:c>
      <x:c r="D169" s="102">
        <x:v>2</x:v>
      </x:c>
      <x:c r="E169" s="269" t="s">
        <x:v>228</x:v>
      </x:c>
      <x:c r="F169" s="269"/>
      <x:c r="G169" s="269" t="s">
        <x:v>274</x:v>
      </x:c>
      <x:c r="H169" s="269"/>
    </x:row>
    <x:row r="170" ht="48" customHeight="1">
      <x:c r="A170" s="269" t="s">
        <x:v>406</x:v>
      </x:c>
      <x:c r="B170" s="102" t="n">
        <x:f>MAX(C170:D170)</x:f>
        <x:v>2</x:v>
      </x:c>
      <x:c r="C170" s="102">
        <x:v>2</x:v>
      </x:c>
      <x:c r="D170" s="102">
        <x:v>1</x:v>
      </x:c>
      <x:c r="E170" s="269" t="s">
        <x:v>228</x:v>
      </x:c>
      <x:c r="F170" s="269"/>
      <x:c r="G170" s="269" t="s">
        <x:v>242</x:v>
      </x:c>
      <x:c r="H170" s="269" t="s">
        <x:v>326</x:v>
      </x:c>
    </x:row>
    <x:row r="171" ht="48" customHeight="1">
      <x:c r="A171" s="269" t="s">
        <x:v>407</x:v>
      </x:c>
      <x:c r="B171" s="102" t="n">
        <x:f>MAX(C171:D171)</x:f>
        <x:v>3</x:v>
      </x:c>
      <x:c r="C171" s="102">
        <x:v>2</x:v>
      </x:c>
      <x:c r="D171" s="102">
        <x:v>3</x:v>
      </x:c>
      <x:c r="E171" s="269" t="s">
        <x:v>228</x:v>
      </x:c>
      <x:c r="F171" s="269"/>
      <x:c r="G171" s="269" t="s">
        <x:v>233</x:v>
      </x:c>
      <x:c r="H171" s="269"/>
    </x:row>
    <x:row r="172" ht="48" customHeight="1">
      <x:c r="A172" s="269" t="s">
        <x:v>408</x:v>
      </x:c>
      <x:c r="B172" s="102" t="n">
        <x:f>MAX(C172:D172)</x:f>
        <x:v>2</x:v>
      </x:c>
      <x:c r="C172" s="102">
        <x:v>2</x:v>
      </x:c>
      <x:c r="D172" s="102">
        <x:v>2</x:v>
      </x:c>
      <x:c r="E172" s="269" t="s">
        <x:v>228</x:v>
      </x:c>
      <x:c r="F172" s="269"/>
      <x:c r="G172" s="269" t="s">
        <x:v>242</x:v>
      </x:c>
      <x:c r="H172" s="269"/>
    </x:row>
    <x:row r="173" ht="28.049999237060547" customHeight="1">
      <x:c r="A173" s="265" t="s">
        <x:v>409</x:v>
      </x:c>
      <x:c r="B173" s="266" t="n">
        <x:f>SUM(B175,B176,B177,B178,B179,B181,B182,B183,B184,B185,B186,B188,B189,B190,B191,B192,B194,B195,B196,B197,B198,B199)</x:f>
        <x:v>41</x:v>
      </x:c>
      <x:c r="C173" s="266"/>
      <x:c r="D173" s="266"/>
      <x:c r="E173" s="265"/>
      <x:c r="F173" s="265"/>
      <x:c r="G173" s="265"/>
      <x:c r="H173" s="265"/>
    </x:row>
    <x:row r="174" ht="28.049999237060547" customHeight="1">
      <x:c r="A174" s="267" t="s">
        <x:v>410</x:v>
      </x:c>
      <x:c r="B174" s="268" t="n">
        <x:f>SUM(B175,B176,B177,B178,B179)</x:f>
        <x:v>11</x:v>
      </x:c>
      <x:c r="C174" s="268"/>
      <x:c r="D174" s="268"/>
      <x:c r="E174" s="267"/>
      <x:c r="F174" s="267"/>
      <x:c r="G174" s="267"/>
      <x:c r="H174" s="267"/>
    </x:row>
    <x:row r="175" ht="48" customHeight="1">
      <x:c r="A175" s="269" t="s">
        <x:v>411</x:v>
      </x:c>
      <x:c r="B175" s="102" t="n">
        <x:f>MAX(C175:D175)</x:f>
        <x:v>2</x:v>
      </x:c>
      <x:c r="C175" s="102">
        <x:v>2</x:v>
      </x:c>
      <x:c r="D175" s="102">
        <x:v>2</x:v>
      </x:c>
      <x:c r="E175" s="269" t="s">
        <x:v>228</x:v>
      </x:c>
      <x:c r="F175" s="269"/>
      <x:c r="G175" s="269" t="s">
        <x:v>242</x:v>
      </x:c>
      <x:c r="H175" s="269"/>
    </x:row>
    <x:row r="176" ht="48" customHeight="1">
      <x:c r="A176" s="269" t="s">
        <x:v>412</x:v>
      </x:c>
      <x:c r="B176" s="102" t="n">
        <x:f>MAX(C176:D176)</x:f>
        <x:v>3</x:v>
      </x:c>
      <x:c r="C176" s="102">
        <x:v>2</x:v>
      </x:c>
      <x:c r="D176" s="102">
        <x:v>3</x:v>
      </x:c>
      <x:c r="E176" s="269" t="s">
        <x:v>228</x:v>
      </x:c>
      <x:c r="F176" s="269"/>
      <x:c r="G176" s="269" t="s">
        <x:v>274</x:v>
      </x:c>
      <x:c r="H176" s="269"/>
    </x:row>
    <x:row r="177" ht="48" customHeight="1">
      <x:c r="A177" s="269" t="s">
        <x:v>413</x:v>
      </x:c>
      <x:c r="B177" s="102" t="n">
        <x:f>MAX(C177:D177)</x:f>
        <x:v>2</x:v>
      </x:c>
      <x:c r="C177" s="102">
        <x:v>1</x:v>
      </x:c>
      <x:c r="D177" s="102">
        <x:v>2</x:v>
      </x:c>
      <x:c r="E177" s="269" t="s">
        <x:v>231</x:v>
      </x:c>
      <x:c r="F177" s="269"/>
      <x:c r="G177" s="269" t="s">
        <x:v>274</x:v>
      </x:c>
      <x:c r="H177" s="269"/>
    </x:row>
    <x:row r="178" ht="48" customHeight="1">
      <x:c r="A178" s="269" t="s">
        <x:v>414</x:v>
      </x:c>
      <x:c r="B178" s="102" t="n">
        <x:f>MAX(C178:D178)</x:f>
        <x:v>3</x:v>
      </x:c>
      <x:c r="C178" s="102">
        <x:v>3</x:v>
      </x:c>
      <x:c r="D178" s="102">
        <x:v>3</x:v>
      </x:c>
      <x:c r="E178" s="269" t="s">
        <x:v>238</x:v>
      </x:c>
      <x:c r="F178" s="269"/>
      <x:c r="G178" s="269" t="s">
        <x:v>415</x:v>
      </x:c>
      <x:c r="H178" s="269" t="s">
        <x:v>416</x:v>
      </x:c>
    </x:row>
    <x:row r="179" ht="48" customHeight="1">
      <x:c r="A179" s="269" t="s">
        <x:v>417</x:v>
      </x:c>
      <x:c r="B179" s="102" t="n">
        <x:f>MAX(C179:D179)</x:f>
        <x:v>1</x:v>
      </x:c>
      <x:c r="C179" s="102">
        <x:v>1</x:v>
      </x:c>
      <x:c r="D179" s="102">
        <x:v>1</x:v>
      </x:c>
      <x:c r="E179" s="269" t="s">
        <x:v>231</x:v>
      </x:c>
      <x:c r="F179" s="269"/>
      <x:c r="G179" s="269" t="s">
        <x:v>274</x:v>
      </x:c>
      <x:c r="H179" s="269" t="s">
        <x:v>418</x:v>
      </x:c>
    </x:row>
    <x:row r="180" ht="28.049999237060547" customHeight="1">
      <x:c r="A180" s="267" t="s">
        <x:v>419</x:v>
      </x:c>
      <x:c r="B180" s="268" t="n">
        <x:f>SUM(B181,B182,B183,B184,B185,B186)</x:f>
        <x:v>10</x:v>
      </x:c>
      <x:c r="C180" s="268"/>
      <x:c r="D180" s="268"/>
      <x:c r="E180" s="267"/>
      <x:c r="F180" s="267"/>
      <x:c r="G180" s="267"/>
      <x:c r="H180" s="267"/>
    </x:row>
    <x:row r="181" ht="48" customHeight="1">
      <x:c r="A181" s="269" t="s">
        <x:v>420</x:v>
      </x:c>
      <x:c r="B181" s="102" t="n">
        <x:f>MAX(C181:D181)</x:f>
        <x:v>1</x:v>
      </x:c>
      <x:c r="C181" s="102">
        <x:v>1</x:v>
      </x:c>
      <x:c r="D181" s="102">
        <x:v>1</x:v>
      </x:c>
      <x:c r="E181" s="269" t="s">
        <x:v>231</x:v>
      </x:c>
      <x:c r="F181" s="269"/>
      <x:c r="G181" s="269" t="s">
        <x:v>233</x:v>
      </x:c>
      <x:c r="H181" s="269"/>
    </x:row>
    <x:row r="182" ht="48" customHeight="1">
      <x:c r="A182" s="269" t="s">
        <x:v>421</x:v>
      </x:c>
      <x:c r="B182" s="102" t="n">
        <x:f>MAX(C182:D182)</x:f>
        <x:v>2</x:v>
      </x:c>
      <x:c r="C182" s="102">
        <x:v>2</x:v>
      </x:c>
      <x:c r="D182" s="102">
        <x:v>2</x:v>
      </x:c>
      <x:c r="E182" s="269" t="s">
        <x:v>228</x:v>
      </x:c>
      <x:c r="F182" s="269"/>
      <x:c r="G182" s="269" t="s">
        <x:v>233</x:v>
      </x:c>
      <x:c r="H182" s="269"/>
    </x:row>
    <x:row r="183" ht="48" customHeight="1">
      <x:c r="A183" s="269" t="s">
        <x:v>422</x:v>
      </x:c>
      <x:c r="B183" s="102" t="n">
        <x:f>MAX(C183:D183)</x:f>
        <x:v>1</x:v>
      </x:c>
      <x:c r="C183" s="102">
        <x:v>1</x:v>
      </x:c>
      <x:c r="D183" s="102">
        <x:v>1</x:v>
      </x:c>
      <x:c r="E183" s="269" t="s">
        <x:v>231</x:v>
      </x:c>
      <x:c r="F183" s="269"/>
      <x:c r="G183" s="269" t="s">
        <x:v>233</x:v>
      </x:c>
      <x:c r="H183" s="269"/>
    </x:row>
    <x:row r="184" ht="48" customHeight="1">
      <x:c r="A184" s="269" t="s">
        <x:v>423</x:v>
      </x:c>
      <x:c r="B184" s="102" t="n">
        <x:f>MAX(C184:D184)</x:f>
        <x:v>3</x:v>
      </x:c>
      <x:c r="C184" s="102">
        <x:v>3</x:v>
      </x:c>
      <x:c r="D184" s="102">
        <x:v>3</x:v>
      </x:c>
      <x:c r="E184" s="269" t="s">
        <x:v>238</x:v>
      </x:c>
      <x:c r="F184" s="269"/>
      <x:c r="G184" s="269" t="s">
        <x:v>415</x:v>
      </x:c>
      <x:c r="H184" s="269" t="s">
        <x:v>418</x:v>
      </x:c>
    </x:row>
    <x:row r="185" ht="48" customHeight="1">
      <x:c r="A185" s="269" t="s">
        <x:v>424</x:v>
      </x:c>
      <x:c r="B185" s="102" t="n">
        <x:f>MAX(C185:D185)</x:f>
        <x:v>2</x:v>
      </x:c>
      <x:c r="C185" s="102">
        <x:v>2</x:v>
      </x:c>
      <x:c r="D185" s="102">
        <x:v>2</x:v>
      </x:c>
      <x:c r="E185" s="269" t="s">
        <x:v>228</x:v>
      </x:c>
      <x:c r="F185" s="269"/>
      <x:c r="G185" s="269" t="s">
        <x:v>415</x:v>
      </x:c>
      <x:c r="H185" s="269" t="s">
        <x:v>418</x:v>
      </x:c>
    </x:row>
    <x:row r="186" ht="48" customHeight="1">
      <x:c r="A186" s="269" t="s">
        <x:v>417</x:v>
      </x:c>
      <x:c r="B186" s="102" t="n">
        <x:f>MAX(C186:D186)</x:f>
        <x:v>1</x:v>
      </x:c>
      <x:c r="C186" s="102">
        <x:v>1</x:v>
      </x:c>
      <x:c r="D186" s="102">
        <x:v>1</x:v>
      </x:c>
      <x:c r="E186" s="269" t="s">
        <x:v>231</x:v>
      </x:c>
      <x:c r="F186" s="269"/>
      <x:c r="G186" s="269" t="s">
        <x:v>274</x:v>
      </x:c>
      <x:c r="H186" s="269" t="s">
        <x:v>418</x:v>
      </x:c>
    </x:row>
    <x:row r="187" ht="28.049999237060547" customHeight="1">
      <x:c r="A187" s="267" t="s">
        <x:v>425</x:v>
      </x:c>
      <x:c r="B187" s="268" t="n">
        <x:f>SUM(B188,B189,B190,B191,B192)</x:f>
        <x:v>8</x:v>
      </x:c>
      <x:c r="C187" s="268"/>
      <x:c r="D187" s="268"/>
      <x:c r="E187" s="267"/>
      <x:c r="F187" s="267"/>
      <x:c r="G187" s="267"/>
      <x:c r="H187" s="267"/>
    </x:row>
    <x:row r="188" ht="48" customHeight="1">
      <x:c r="A188" s="269" t="s">
        <x:v>426</x:v>
      </x:c>
      <x:c r="B188" s="102" t="n">
        <x:f>MAX(C188:D188)</x:f>
        <x:v>1</x:v>
      </x:c>
      <x:c r="C188" s="102">
        <x:v>1</x:v>
      </x:c>
      <x:c r="D188" s="102">
        <x:v>1</x:v>
      </x:c>
      <x:c r="E188" s="269" t="s">
        <x:v>231</x:v>
      </x:c>
      <x:c r="F188" s="269"/>
      <x:c r="G188" s="269" t="s">
        <x:v>274</x:v>
      </x:c>
      <x:c r="H188" s="269"/>
    </x:row>
    <x:row r="189" ht="48" customHeight="1">
      <x:c r="A189" s="269" t="s">
        <x:v>427</x:v>
      </x:c>
      <x:c r="B189" s="102" t="n">
        <x:f>MAX(C189:D189)</x:f>
        <x:v>2</x:v>
      </x:c>
      <x:c r="C189" s="102">
        <x:v>1</x:v>
      </x:c>
      <x:c r="D189" s="102">
        <x:v>2</x:v>
      </x:c>
      <x:c r="E189" s="269" t="s">
        <x:v>231</x:v>
      </x:c>
      <x:c r="F189" s="269"/>
      <x:c r="G189" s="269" t="s">
        <x:v>274</x:v>
      </x:c>
      <x:c r="H189" s="269"/>
    </x:row>
    <x:row r="190" ht="48" customHeight="1">
      <x:c r="A190" s="269" t="s">
        <x:v>428</x:v>
      </x:c>
      <x:c r="B190" s="102" t="n">
        <x:f>MAX(C190:D190)</x:f>
        <x:v>1</x:v>
      </x:c>
      <x:c r="C190" s="102">
        <x:v>1</x:v>
      </x:c>
      <x:c r="D190" s="102">
        <x:v>1</x:v>
      </x:c>
      <x:c r="E190" s="269" t="s">
        <x:v>231</x:v>
      </x:c>
      <x:c r="F190" s="269"/>
      <x:c r="G190" s="269" t="s">
        <x:v>274</x:v>
      </x:c>
      <x:c r="H190" s="269"/>
    </x:row>
    <x:row r="191" ht="48" customHeight="1">
      <x:c r="A191" s="269" t="s">
        <x:v>429</x:v>
      </x:c>
      <x:c r="B191" s="102" t="n">
        <x:f>MAX(C191:D191)</x:f>
        <x:v>3</x:v>
      </x:c>
      <x:c r="C191" s="102">
        <x:v>2</x:v>
      </x:c>
      <x:c r="D191" s="102">
        <x:v>3</x:v>
      </x:c>
      <x:c r="E191" s="269" t="s">
        <x:v>228</x:v>
      </x:c>
      <x:c r="F191" s="269"/>
      <x:c r="G191" s="269" t="s">
        <x:v>242</x:v>
      </x:c>
      <x:c r="H191" s="269" t="s">
        <x:v>418</x:v>
      </x:c>
    </x:row>
    <x:row r="192" ht="48" customHeight="1">
      <x:c r="A192" s="269" t="s">
        <x:v>430</x:v>
      </x:c>
      <x:c r="B192" s="102" t="n">
        <x:f>MAX(C192:D192)</x:f>
        <x:v>1</x:v>
      </x:c>
      <x:c r="C192" s="102">
        <x:v>1</x:v>
      </x:c>
      <x:c r="D192" s="102">
        <x:v>1</x:v>
      </x:c>
      <x:c r="E192" s="269" t="s">
        <x:v>231</x:v>
      </x:c>
      <x:c r="F192" s="269"/>
      <x:c r="G192" s="269" t="s">
        <x:v>274</x:v>
      </x:c>
      <x:c r="H192" s="269" t="s">
        <x:v>418</x:v>
      </x:c>
    </x:row>
    <x:row r="193" ht="28.049999237060547" customHeight="1">
      <x:c r="A193" s="267" t="s">
        <x:v>431</x:v>
      </x:c>
      <x:c r="B193" s="268" t="n">
        <x:f>SUM(B194,B195,B196,B197,B198,B199)</x:f>
        <x:v>12</x:v>
      </x:c>
      <x:c r="C193" s="268"/>
      <x:c r="D193" s="268"/>
      <x:c r="E193" s="267"/>
      <x:c r="F193" s="267"/>
      <x:c r="G193" s="267"/>
      <x:c r="H193" s="267"/>
    </x:row>
    <x:row r="194" ht="48" customHeight="1">
      <x:c r="A194" s="269" t="s">
        <x:v>432</x:v>
      </x:c>
      <x:c r="B194" s="102" t="n">
        <x:f>MAX(C194:D194)</x:f>
        <x:v>1</x:v>
      </x:c>
      <x:c r="C194" s="102">
        <x:v>1</x:v>
      </x:c>
      <x:c r="D194" s="102">
        <x:v>1</x:v>
      </x:c>
      <x:c r="E194" s="269" t="s">
        <x:v>231</x:v>
      </x:c>
      <x:c r="F194" s="269"/>
      <x:c r="G194" s="269" t="s">
        <x:v>274</x:v>
      </x:c>
      <x:c r="H194" s="269"/>
    </x:row>
    <x:row r="195" ht="48" customHeight="1">
      <x:c r="A195" s="269" t="s">
        <x:v>427</x:v>
      </x:c>
      <x:c r="B195" s="102" t="n">
        <x:f>MAX(C195:D195)</x:f>
        <x:v>2</x:v>
      </x:c>
      <x:c r="C195" s="102">
        <x:v>1</x:v>
      </x:c>
      <x:c r="D195" s="102">
        <x:v>2</x:v>
      </x:c>
      <x:c r="E195" s="269" t="s">
        <x:v>231</x:v>
      </x:c>
      <x:c r="F195" s="269"/>
      <x:c r="G195" s="269" t="s">
        <x:v>274</x:v>
      </x:c>
      <x:c r="H195" s="269"/>
    </x:row>
    <x:row r="196" ht="48" customHeight="1">
      <x:c r="A196" s="269" t="s">
        <x:v>433</x:v>
      </x:c>
      <x:c r="B196" s="102" t="n">
        <x:f>MAX(C196:D196)</x:f>
        <x:v>2</x:v>
      </x:c>
      <x:c r="C196" s="102">
        <x:v>2</x:v>
      </x:c>
      <x:c r="D196" s="102">
        <x:v>2</x:v>
      </x:c>
      <x:c r="E196" s="269" t="s">
        <x:v>228</x:v>
      </x:c>
      <x:c r="F196" s="269"/>
      <x:c r="G196" s="269" t="s">
        <x:v>274</x:v>
      </x:c>
      <x:c r="H196" s="269"/>
    </x:row>
    <x:row r="197" ht="48" customHeight="1">
      <x:c r="A197" s="269" t="s">
        <x:v>434</x:v>
      </x:c>
      <x:c r="B197" s="102" t="n">
        <x:f>MAX(C197:D197)</x:f>
        <x:v>3</x:v>
      </x:c>
      <x:c r="C197" s="102">
        <x:v>3</x:v>
      </x:c>
      <x:c r="D197" s="102">
        <x:v>3</x:v>
      </x:c>
      <x:c r="E197" s="269" t="s">
        <x:v>238</x:v>
      </x:c>
      <x:c r="F197" s="269"/>
      <x:c r="G197" s="269" t="s">
        <x:v>435</x:v>
      </x:c>
      <x:c r="H197" s="269" t="s">
        <x:v>436</x:v>
      </x:c>
    </x:row>
    <x:row r="198" ht="48" customHeight="1">
      <x:c r="A198" s="269" t="s">
        <x:v>437</x:v>
      </x:c>
      <x:c r="B198" s="102" t="n">
        <x:f>MAX(C198:D198)</x:f>
        <x:v>3</x:v>
      </x:c>
      <x:c r="C198" s="102">
        <x:v>3</x:v>
      </x:c>
      <x:c r="D198" s="102">
        <x:v>3</x:v>
      </x:c>
      <x:c r="E198" s="269" t="s">
        <x:v>238</x:v>
      </x:c>
      <x:c r="F198" s="269"/>
      <x:c r="G198" s="269" t="s">
        <x:v>435</x:v>
      </x:c>
      <x:c r="H198" s="269" t="s">
        <x:v>436</x:v>
      </x:c>
    </x:row>
    <x:row r="199" ht="48" customHeight="1">
      <x:c r="A199" s="269" t="s">
        <x:v>430</x:v>
      </x:c>
      <x:c r="B199" s="102" t="n">
        <x:f>MAX(C199:D199)</x:f>
        <x:v>1</x:v>
      </x:c>
      <x:c r="C199" s="102">
        <x:v>1</x:v>
      </x:c>
      <x:c r="D199" s="102">
        <x:v>1</x:v>
      </x:c>
      <x:c r="E199" s="269" t="s">
        <x:v>231</x:v>
      </x:c>
      <x:c r="F199" s="269"/>
      <x:c r="G199" s="269" t="s">
        <x:v>274</x:v>
      </x:c>
      <x:c r="H199" s="269" t="s">
        <x:v>418</x:v>
      </x:c>
    </x:row>
    <x:row r="200" ht="25" customHeight="1">
      <x:c r="A200" s="286" t="s">
        <x:v>9</x:v>
      </x:c>
      <x:c r="B200" s="287" t="n">
        <x:f>SUM(B203,B204,B205,B206,B207,B208,B209,B211,B212,B213,B214,B216,B217,B218,B219,B221,B222,B223,B224,B227,B228,B229,B230,B231,B233,B234,B235,B236,B238,B239,B240,B243,B244,B245,B246,B247,B249,B250,B251,B252,B255,B256,B257,B259,B260,B261,B262,B264,B265,B266,B267,B268,B270,B271,B272,B274,B275,B276,B278,B279,B280,B281,B284,B285,B286,B287,B289,B290,B291,B292,B293,B294,B295,B297,B298,B299,B300,B302,B303,B304,B306,B307,B308,B309,B310,B311,B312,B314,B315,B316,B317,B318,B319,B320,B321,B322,B323,B326,B327,B328,B329,B330,B332,B333,B334,B336,B337,B338,B340,B341,B342,B345,B346,B347,B348,B349)</x:f>
        <x:v>297</x:v>
      </x:c>
      <x:c r="C200" s="287"/>
      <x:c r="D200" s="287"/>
      <x:c r="E200" s="286"/>
      <x:c r="F200" s="286"/>
      <x:c r="G200" s="286"/>
      <x:c r="H200" s="286"/>
    </x:row>
    <x:row r="201" ht="28.049999237060547" customHeight="1">
      <x:c r="A201" s="265" t="s">
        <x:v>438</x:v>
      </x:c>
      <x:c r="B201" s="266" t="n">
        <x:f>SUM(B203,B204,B205,B206,B207,B208,B209,B211,B212,B213,B214,B216,B217,B218,B219,B221,B222,B223,B224)</x:f>
        <x:v>46</x:v>
      </x:c>
      <x:c r="C201" s="266"/>
      <x:c r="D201" s="266"/>
      <x:c r="E201" s="265"/>
      <x:c r="F201" s="265"/>
      <x:c r="G201" s="265"/>
      <x:c r="H201" s="265"/>
    </x:row>
    <x:row r="202" ht="28.049999237060547" customHeight="1">
      <x:c r="A202" s="267" t="s">
        <x:v>226</x:v>
      </x:c>
      <x:c r="B202" s="268" t="n">
        <x:f>SUM(B203,B204,B205,B206,B207,B208,B209)</x:f>
        <x:v>19</x:v>
      </x:c>
      <x:c r="C202" s="268"/>
      <x:c r="D202" s="268"/>
      <x:c r="E202" s="267"/>
      <x:c r="F202" s="267"/>
      <x:c r="G202" s="267"/>
      <x:c r="H202" s="267"/>
    </x:row>
    <x:row r="203" ht="48" customHeight="1">
      <x:c r="A203" s="269" t="s">
        <x:v>439</x:v>
      </x:c>
      <x:c r="B203" s="102" t="n">
        <x:f>MAX(C203:D203)</x:f>
        <x:v>2</x:v>
      </x:c>
      <x:c r="C203" s="102">
        <x:v>2</x:v>
      </x:c>
      <x:c r="D203" s="102">
        <x:v>2</x:v>
      </x:c>
      <x:c r="E203" s="269" t="s">
        <x:v>228</x:v>
      </x:c>
      <x:c r="F203" s="269"/>
      <x:c r="G203" s="269" t="s">
        <x:v>235</x:v>
      </x:c>
      <x:c r="H203" s="269"/>
    </x:row>
    <x:row r="204" ht="48" customHeight="1">
      <x:c r="A204" s="269" t="s">
        <x:v>440</x:v>
      </x:c>
      <x:c r="B204" s="102" t="n">
        <x:f>MAX(C204:D204)</x:f>
        <x:v>3</x:v>
      </x:c>
      <x:c r="C204" s="102">
        <x:v>2</x:v>
      </x:c>
      <x:c r="D204" s="102">
        <x:v>3</x:v>
      </x:c>
      <x:c r="E204" s="269" t="s">
        <x:v>228</x:v>
      </x:c>
      <x:c r="F204" s="269"/>
      <x:c r="G204" s="269" t="s">
        <x:v>441</x:v>
      </x:c>
      <x:c r="H204" s="269"/>
    </x:row>
    <x:row r="205" ht="48" customHeight="1">
      <x:c r="A205" s="269" t="s">
        <x:v>442</x:v>
      </x:c>
      <x:c r="B205" s="102" t="n">
        <x:f>MAX(C205:D205)</x:f>
        <x:v>2</x:v>
      </x:c>
      <x:c r="C205" s="102">
        <x:v>1</x:v>
      </x:c>
      <x:c r="D205" s="102">
        <x:v>2</x:v>
      </x:c>
      <x:c r="E205" s="269" t="s">
        <x:v>231</x:v>
      </x:c>
      <x:c r="F205" s="269"/>
      <x:c r="G205" s="269" t="s">
        <x:v>235</x:v>
      </x:c>
      <x:c r="H205" s="269"/>
    </x:row>
    <x:row r="206" ht="48" customHeight="1">
      <x:c r="A206" s="269" t="s">
        <x:v>443</x:v>
      </x:c>
      <x:c r="B206" s="102" t="n">
        <x:f>MAX(C206:D206)</x:f>
        <x:v>3</x:v>
      </x:c>
      <x:c r="C206" s="102">
        <x:v>2</x:v>
      </x:c>
      <x:c r="D206" s="102">
        <x:v>3</x:v>
      </x:c>
      <x:c r="E206" s="269" t="s">
        <x:v>228</x:v>
      </x:c>
      <x:c r="F206" s="269"/>
      <x:c r="G206" s="269" t="s">
        <x:v>233</x:v>
      </x:c>
      <x:c r="H206" s="269"/>
    </x:row>
    <x:row r="207" ht="48" customHeight="1">
      <x:c r="A207" s="269" t="s">
        <x:v>444</x:v>
      </x:c>
      <x:c r="B207" s="102" t="n">
        <x:f>MAX(C207:D207)</x:f>
        <x:v>3</x:v>
      </x:c>
      <x:c r="C207" s="102">
        <x:v>3</x:v>
      </x:c>
      <x:c r="D207" s="102">
        <x:v>3</x:v>
      </x:c>
      <x:c r="E207" s="269" t="s">
        <x:v>238</x:v>
      </x:c>
      <x:c r="F207" s="269"/>
      <x:c r="G207" s="269" t="s">
        <x:v>239</x:v>
      </x:c>
      <x:c r="H207" s="269"/>
    </x:row>
    <x:row r="208" ht="48" customHeight="1">
      <x:c r="A208" s="269" t="s">
        <x:v>445</x:v>
      </x:c>
      <x:c r="B208" s="102" t="n">
        <x:f>MAX(C208:D208)</x:f>
        <x:v>3</x:v>
      </x:c>
      <x:c r="C208" s="102">
        <x:v>3</x:v>
      </x:c>
      <x:c r="D208" s="102">
        <x:v>3</x:v>
      </x:c>
      <x:c r="E208" s="269" t="s">
        <x:v>238</x:v>
      </x:c>
      <x:c r="F208" s="269"/>
      <x:c r="G208" s="269" t="s">
        <x:v>239</x:v>
      </x:c>
      <x:c r="H208" s="269"/>
    </x:row>
    <x:row r="209" ht="48" customHeight="1">
      <x:c r="A209" s="269" t="s">
        <x:v>446</x:v>
      </x:c>
      <x:c r="B209" s="102" t="n">
        <x:f>MAX(C209:D209)</x:f>
        <x:v>3</x:v>
      </x:c>
      <x:c r="C209" s="102">
        <x:v>3</x:v>
      </x:c>
      <x:c r="D209" s="102">
        <x:v>3</x:v>
      </x:c>
      <x:c r="E209" s="269" t="s">
        <x:v>238</x:v>
      </x:c>
      <x:c r="F209" s="269"/>
      <x:c r="G209" s="269" t="s">
        <x:v>239</x:v>
      </x:c>
      <x:c r="H209" s="269" t="s">
        <x:v>324</x:v>
      </x:c>
    </x:row>
    <x:row r="210" ht="28.049999237060547" customHeight="1">
      <x:c r="A210" s="267" t="s">
        <x:v>240</x:v>
      </x:c>
      <x:c r="B210" s="268" t="n">
        <x:f>SUM(B211,B212,B213,B214)</x:f>
        <x:v>10</x:v>
      </x:c>
      <x:c r="C210" s="268"/>
      <x:c r="D210" s="268"/>
      <x:c r="E210" s="267"/>
      <x:c r="F210" s="267"/>
      <x:c r="G210" s="267"/>
      <x:c r="H210" s="267"/>
    </x:row>
    <x:row r="211" ht="48" customHeight="1">
      <x:c r="A211" s="269" t="s">
        <x:v>447</x:v>
      </x:c>
      <x:c r="B211" s="102" t="n">
        <x:f>MAX(C211:D211)</x:f>
        <x:v>2</x:v>
      </x:c>
      <x:c r="C211" s="102">
        <x:v>2</x:v>
      </x:c>
      <x:c r="D211" s="102">
        <x:v>2</x:v>
      </x:c>
      <x:c r="E211" s="269" t="s">
        <x:v>228</x:v>
      </x:c>
      <x:c r="F211" s="269"/>
      <x:c r="G211" s="269" t="s">
        <x:v>239</x:v>
      </x:c>
      <x:c r="H211" s="269"/>
    </x:row>
    <x:row r="212" ht="48" customHeight="1">
      <x:c r="A212" s="269" t="s">
        <x:v>448</x:v>
      </x:c>
      <x:c r="B212" s="102" t="n">
        <x:f>MAX(C212:D212)</x:f>
        <x:v>3</x:v>
      </x:c>
      <x:c r="C212" s="102">
        <x:v>3</x:v>
      </x:c>
      <x:c r="D212" s="102">
        <x:v>3</x:v>
      </x:c>
      <x:c r="E212" s="269" t="s">
        <x:v>238</x:v>
      </x:c>
      <x:c r="F212" s="269"/>
      <x:c r="G212" s="269" t="s">
        <x:v>239</x:v>
      </x:c>
      <x:c r="H212" s="269"/>
    </x:row>
    <x:row r="213" ht="48" customHeight="1">
      <x:c r="A213" s="269" t="s">
        <x:v>449</x:v>
      </x:c>
      <x:c r="B213" s="102" t="n">
        <x:f>MAX(C213:D213)</x:f>
        <x:v>3</x:v>
      </x:c>
      <x:c r="C213" s="102">
        <x:v>3</x:v>
      </x:c>
      <x:c r="D213" s="102">
        <x:v>3</x:v>
      </x:c>
      <x:c r="E213" s="269" t="s">
        <x:v>238</x:v>
      </x:c>
      <x:c r="F213" s="269"/>
      <x:c r="G213" s="269" t="s">
        <x:v>239</x:v>
      </x:c>
      <x:c r="H213" s="269"/>
    </x:row>
    <x:row r="214" ht="48" customHeight="1">
      <x:c r="A214" s="269" t="s">
        <x:v>450</x:v>
      </x:c>
      <x:c r="B214" s="102" t="n">
        <x:f>MAX(C214:D214)</x:f>
        <x:v>2</x:v>
      </x:c>
      <x:c r="C214" s="102">
        <x:v>2</x:v>
      </x:c>
      <x:c r="D214" s="102">
        <x:v>2</x:v>
      </x:c>
      <x:c r="E214" s="269" t="s">
        <x:v>228</x:v>
      </x:c>
      <x:c r="F214" s="269"/>
      <x:c r="G214" s="269" t="s">
        <x:v>239</x:v>
      </x:c>
      <x:c r="H214" s="269"/>
    </x:row>
    <x:row r="215" ht="28.049999237060547" customHeight="1">
      <x:c r="A215" s="267" t="s">
        <x:v>246</x:v>
      </x:c>
      <x:c r="B215" s="268" t="n">
        <x:f>SUM(B216,B217,B218,B219)</x:f>
        <x:v>8</x:v>
      </x:c>
      <x:c r="C215" s="268"/>
      <x:c r="D215" s="268"/>
      <x:c r="E215" s="267"/>
      <x:c r="F215" s="267"/>
      <x:c r="G215" s="267"/>
      <x:c r="H215" s="267"/>
    </x:row>
    <x:row r="216" ht="48" customHeight="1">
      <x:c r="A216" s="269" t="s">
        <x:v>451</x:v>
      </x:c>
      <x:c r="B216" s="102" t="n">
        <x:f>MAX(C216:D216)</x:f>
        <x:v>2</x:v>
      </x:c>
      <x:c r="C216" s="102">
        <x:v>2</x:v>
      </x:c>
      <x:c r="D216" s="102">
        <x:v>1</x:v>
      </x:c>
      <x:c r="E216" s="269" t="s">
        <x:v>228</x:v>
      </x:c>
      <x:c r="F216" s="269"/>
      <x:c r="G216" s="269" t="s">
        <x:v>235</x:v>
      </x:c>
      <x:c r="H216" s="269"/>
    </x:row>
    <x:row r="217" ht="48" customHeight="1">
      <x:c r="A217" s="269" t="s">
        <x:v>452</x:v>
      </x:c>
      <x:c r="B217" s="102" t="n">
        <x:f>MAX(C217:D217)</x:f>
        <x:v>2</x:v>
      </x:c>
      <x:c r="C217" s="102">
        <x:v>1</x:v>
      </x:c>
      <x:c r="D217" s="102">
        <x:v>2</x:v>
      </x:c>
      <x:c r="E217" s="269" t="s">
        <x:v>231</x:v>
      </x:c>
      <x:c r="F217" s="269"/>
      <x:c r="G217" s="269" t="s">
        <x:v>242</x:v>
      </x:c>
      <x:c r="H217" s="269"/>
    </x:row>
    <x:row r="218" ht="48" customHeight="1">
      <x:c r="A218" s="269" t="s">
        <x:v>453</x:v>
      </x:c>
      <x:c r="B218" s="102" t="n">
        <x:f>MAX(C218:D218)</x:f>
        <x:v>2</x:v>
      </x:c>
      <x:c r="C218" s="102">
        <x:v>2</x:v>
      </x:c>
      <x:c r="D218" s="102">
        <x:v>2</x:v>
      </x:c>
      <x:c r="E218" s="269" t="s">
        <x:v>228</x:v>
      </x:c>
      <x:c r="F218" s="269"/>
      <x:c r="G218" s="269" t="s">
        <x:v>233</x:v>
      </x:c>
      <x:c r="H218" s="269"/>
    </x:row>
    <x:row r="219" ht="48" customHeight="1">
      <x:c r="A219" s="269" t="s">
        <x:v>454</x:v>
      </x:c>
      <x:c r="B219" s="102" t="n">
        <x:f>MAX(C219:D219)</x:f>
        <x:v>2</x:v>
      </x:c>
      <x:c r="C219" s="102">
        <x:v>2</x:v>
      </x:c>
      <x:c r="D219" s="102">
        <x:v>2</x:v>
      </x:c>
      <x:c r="E219" s="269" t="s">
        <x:v>228</x:v>
      </x:c>
      <x:c r="F219" s="269"/>
      <x:c r="G219" s="269" t="s">
        <x:v>235</x:v>
      </x:c>
      <x:c r="H219" s="269"/>
    </x:row>
    <x:row r="220" ht="28.049999237060547" customHeight="1">
      <x:c r="A220" s="267" t="s">
        <x:v>252</x:v>
      </x:c>
      <x:c r="B220" s="268" t="n">
        <x:f>SUM(B221,B222,B223,B224)</x:f>
        <x:v>9</x:v>
      </x:c>
      <x:c r="C220" s="268"/>
      <x:c r="D220" s="268"/>
      <x:c r="E220" s="267"/>
      <x:c r="F220" s="267"/>
      <x:c r="G220" s="267"/>
      <x:c r="H220" s="267"/>
    </x:row>
    <x:row r="221" ht="48" customHeight="1">
      <x:c r="A221" s="269" t="s">
        <x:v>455</x:v>
      </x:c>
      <x:c r="B221" s="102" t="n">
        <x:f>MAX(C221:D221)</x:f>
        <x:v>2</x:v>
      </x:c>
      <x:c r="C221" s="102">
        <x:v>2</x:v>
      </x:c>
      <x:c r="D221" s="102">
        <x:v>2</x:v>
      </x:c>
      <x:c r="E221" s="269" t="s">
        <x:v>228</x:v>
      </x:c>
      <x:c r="F221" s="269"/>
      <x:c r="G221" s="269" t="s">
        <x:v>239</x:v>
      </x:c>
      <x:c r="H221" s="269"/>
    </x:row>
    <x:row r="222" ht="48" customHeight="1">
      <x:c r="A222" s="269" t="s">
        <x:v>456</x:v>
      </x:c>
      <x:c r="B222" s="102" t="n">
        <x:f>MAX(C222:D222)</x:f>
        <x:v>3</x:v>
      </x:c>
      <x:c r="C222" s="102">
        <x:v>2</x:v>
      </x:c>
      <x:c r="D222" s="102">
        <x:v>3</x:v>
      </x:c>
      <x:c r="E222" s="269" t="s">
        <x:v>228</x:v>
      </x:c>
      <x:c r="F222" s="269"/>
      <x:c r="G222" s="269" t="s">
        <x:v>300</x:v>
      </x:c>
      <x:c r="H222" s="269"/>
    </x:row>
    <x:row r="223" ht="48" customHeight="1">
      <x:c r="A223" s="269" t="s">
        <x:v>457</x:v>
      </x:c>
      <x:c r="B223" s="102" t="n">
        <x:f>MAX(C223:D223)</x:f>
        <x:v>2</x:v>
      </x:c>
      <x:c r="C223" s="102">
        <x:v>1</x:v>
      </x:c>
      <x:c r="D223" s="102">
        <x:v>2</x:v>
      </x:c>
      <x:c r="E223" s="269" t="s">
        <x:v>231</x:v>
      </x:c>
      <x:c r="F223" s="269"/>
      <x:c r="G223" s="269" t="s">
        <x:v>233</x:v>
      </x:c>
      <x:c r="H223" s="269"/>
    </x:row>
    <x:row r="224" ht="48" customHeight="1">
      <x:c r="A224" s="269" t="s">
        <x:v>458</x:v>
      </x:c>
      <x:c r="B224" s="102" t="n">
        <x:f>MAX(C224:D224)</x:f>
        <x:v>2</x:v>
      </x:c>
      <x:c r="C224" s="102">
        <x:v>2</x:v>
      </x:c>
      <x:c r="D224" s="102">
        <x:v>2</x:v>
      </x:c>
      <x:c r="E224" s="269" t="s">
        <x:v>228</x:v>
      </x:c>
      <x:c r="F224" s="269"/>
      <x:c r="G224" s="269" t="s">
        <x:v>233</x:v>
      </x:c>
      <x:c r="H224" s="269"/>
    </x:row>
    <x:row r="225" ht="28.049999237060547" customHeight="1">
      <x:c r="A225" s="265" t="s">
        <x:v>459</x:v>
      </x:c>
      <x:c r="B225" s="266" t="n">
        <x:f>SUM(B227,B228,B229,B230,B231,B233,B234,B235,B236,B238,B239,B240)</x:f>
        <x:v>26</x:v>
      </x:c>
      <x:c r="C225" s="266"/>
      <x:c r="D225" s="266"/>
      <x:c r="E225" s="265"/>
      <x:c r="F225" s="265"/>
      <x:c r="G225" s="265"/>
      <x:c r="H225" s="265"/>
    </x:row>
    <x:row r="226" ht="28.049999237060547" customHeight="1">
      <x:c r="A226" s="267" t="s">
        <x:v>296</x:v>
      </x:c>
      <x:c r="B226" s="268" t="n">
        <x:f>SUM(B227,B228,B229,B230,B231)</x:f>
        <x:v>12</x:v>
      </x:c>
      <x:c r="C226" s="268"/>
      <x:c r="D226" s="268"/>
      <x:c r="E226" s="267"/>
      <x:c r="F226" s="267"/>
      <x:c r="G226" s="267"/>
      <x:c r="H226" s="267"/>
    </x:row>
    <x:row r="227" ht="48" customHeight="1">
      <x:c r="A227" s="269" t="s">
        <x:v>460</x:v>
      </x:c>
      <x:c r="B227" s="102" t="n">
        <x:f>MAX(C227:D227)</x:f>
        <x:v>3</x:v>
      </x:c>
      <x:c r="C227" s="102">
        <x:v>2</x:v>
      </x:c>
      <x:c r="D227" s="102">
        <x:v>3</x:v>
      </x:c>
      <x:c r="E227" s="269" t="s">
        <x:v>228</x:v>
      </x:c>
      <x:c r="F227" s="269"/>
      <x:c r="G227" s="269" t="s">
        <x:v>300</x:v>
      </x:c>
      <x:c r="H227" s="269"/>
    </x:row>
    <x:row r="228" ht="48" customHeight="1">
      <x:c r="A228" s="269" t="s">
        <x:v>461</x:v>
      </x:c>
      <x:c r="B228" s="102" t="n">
        <x:f>MAX(C228:D228)</x:f>
        <x:v>2</x:v>
      </x:c>
      <x:c r="C228" s="102">
        <x:v>2</x:v>
      </x:c>
      <x:c r="D228" s="102">
        <x:v>2</x:v>
      </x:c>
      <x:c r="E228" s="269" t="s">
        <x:v>228</x:v>
      </x:c>
      <x:c r="F228" s="269"/>
      <x:c r="G228" s="269" t="s">
        <x:v>300</x:v>
      </x:c>
      <x:c r="H228" s="269"/>
    </x:row>
    <x:row r="229" ht="48" customHeight="1">
      <x:c r="A229" s="269" t="s">
        <x:v>462</x:v>
      </x:c>
      <x:c r="B229" s="102" t="n">
        <x:f>MAX(C229:D229)</x:f>
        <x:v>3</x:v>
      </x:c>
      <x:c r="C229" s="102">
        <x:v>2</x:v>
      </x:c>
      <x:c r="D229" s="102">
        <x:v>3</x:v>
      </x:c>
      <x:c r="E229" s="269" t="s">
        <x:v>228</x:v>
      </x:c>
      <x:c r="F229" s="269"/>
      <x:c r="G229" s="269" t="s">
        <x:v>300</x:v>
      </x:c>
      <x:c r="H229" s="269"/>
    </x:row>
    <x:row r="230" ht="48" customHeight="1">
      <x:c r="A230" s="269" t="s">
        <x:v>463</x:v>
      </x:c>
      <x:c r="B230" s="102" t="n">
        <x:f>MAX(C230:D230)</x:f>
        <x:v>3</x:v>
      </x:c>
      <x:c r="C230" s="102">
        <x:v>3</x:v>
      </x:c>
      <x:c r="D230" s="102">
        <x:v>3</x:v>
      </x:c>
      <x:c r="E230" s="269" t="s">
        <x:v>238</x:v>
      </x:c>
      <x:c r="F230" s="269"/>
      <x:c r="G230" s="269" t="s">
        <x:v>300</x:v>
      </x:c>
      <x:c r="H230" s="269"/>
    </x:row>
    <x:row r="231" ht="48" customHeight="1">
      <x:c r="A231" s="269" t="s">
        <x:v>464</x:v>
      </x:c>
      <x:c r="B231" s="102" t="n">
        <x:f>MAX(C231:D231)</x:f>
        <x:v>1</x:v>
      </x:c>
      <x:c r="C231" s="102">
        <x:v>1</x:v>
      </x:c>
      <x:c r="D231" s="102">
        <x:v>1</x:v>
      </x:c>
      <x:c r="E231" s="269" t="s">
        <x:v>231</x:v>
      </x:c>
      <x:c r="F231" s="269"/>
      <x:c r="G231" s="269" t="s">
        <x:v>242</x:v>
      </x:c>
      <x:c r="H231" s="269"/>
    </x:row>
    <x:row r="232" ht="28.049999237060547" customHeight="1">
      <x:c r="A232" s="267" t="s">
        <x:v>302</x:v>
      </x:c>
      <x:c r="B232" s="268" t="n">
        <x:f>SUM(B233,B234,B235,B236)</x:f>
        <x:v>7</x:v>
      </x:c>
      <x:c r="C232" s="268"/>
      <x:c r="D232" s="268"/>
      <x:c r="E232" s="267"/>
      <x:c r="F232" s="267"/>
      <x:c r="G232" s="267"/>
      <x:c r="H232" s="267"/>
    </x:row>
    <x:row r="233" ht="48" customHeight="1">
      <x:c r="A233" s="269" t="s">
        <x:v>465</x:v>
      </x:c>
      <x:c r="B233" s="102" t="n">
        <x:f>MAX(C233:D233)</x:f>
        <x:v>2</x:v>
      </x:c>
      <x:c r="C233" s="102">
        <x:v>2</x:v>
      </x:c>
      <x:c r="D233" s="102">
        <x:v>2</x:v>
      </x:c>
      <x:c r="E233" s="269" t="s">
        <x:v>228</x:v>
      </x:c>
      <x:c r="F233" s="269"/>
      <x:c r="G233" s="269" t="s">
        <x:v>300</x:v>
      </x:c>
      <x:c r="H233" s="269"/>
    </x:row>
    <x:row r="234" ht="48" customHeight="1">
      <x:c r="A234" s="269" t="s">
        <x:v>466</x:v>
      </x:c>
      <x:c r="B234" s="102" t="n">
        <x:f>MAX(C234:D234)</x:f>
        <x:v>2</x:v>
      </x:c>
      <x:c r="C234" s="102">
        <x:v>1</x:v>
      </x:c>
      <x:c r="D234" s="102">
        <x:v>2</x:v>
      </x:c>
      <x:c r="E234" s="269" t="s">
        <x:v>231</x:v>
      </x:c>
      <x:c r="F234" s="269"/>
      <x:c r="G234" s="269" t="s">
        <x:v>233</x:v>
      </x:c>
      <x:c r="H234" s="269"/>
    </x:row>
    <x:row r="235" ht="48" customHeight="1">
      <x:c r="A235" s="269" t="s">
        <x:v>467</x:v>
      </x:c>
      <x:c r="B235" s="102" t="n">
        <x:f>MAX(C235:D235)</x:f>
        <x:v>2</x:v>
      </x:c>
      <x:c r="C235" s="102">
        <x:v>1</x:v>
      </x:c>
      <x:c r="D235" s="102">
        <x:v>2</x:v>
      </x:c>
      <x:c r="E235" s="269" t="s">
        <x:v>231</x:v>
      </x:c>
      <x:c r="F235" s="269"/>
      <x:c r="G235" s="269" t="s">
        <x:v>441</x:v>
      </x:c>
      <x:c r="H235" s="269"/>
    </x:row>
    <x:row r="236" ht="48" customHeight="1">
      <x:c r="A236" s="269" t="s">
        <x:v>468</x:v>
      </x:c>
      <x:c r="B236" s="102" t="n">
        <x:f>MAX(C236:D236)</x:f>
        <x:v>1</x:v>
      </x:c>
      <x:c r="C236" s="102">
        <x:v>1</x:v>
      </x:c>
      <x:c r="D236" s="102">
        <x:v>1</x:v>
      </x:c>
      <x:c r="E236" s="269" t="s">
        <x:v>231</x:v>
      </x:c>
      <x:c r="F236" s="269"/>
      <x:c r="G236" s="269" t="s">
        <x:v>242</x:v>
      </x:c>
      <x:c r="H236" s="269"/>
    </x:row>
    <x:row r="237" ht="28.049999237060547" customHeight="1">
      <x:c r="A237" s="267" t="s">
        <x:v>307</x:v>
      </x:c>
      <x:c r="B237" s="268" t="n">
        <x:f>SUM(B238,B239,B240)</x:f>
        <x:v>7</x:v>
      </x:c>
      <x:c r="C237" s="268"/>
      <x:c r="D237" s="268"/>
      <x:c r="E237" s="267"/>
      <x:c r="F237" s="267"/>
      <x:c r="G237" s="267"/>
      <x:c r="H237" s="267"/>
    </x:row>
    <x:row r="238" ht="48" customHeight="1">
      <x:c r="A238" s="269" t="s">
        <x:v>469</x:v>
      </x:c>
      <x:c r="B238" s="102" t="n">
        <x:f>MAX(C238:D238)</x:f>
        <x:v>2</x:v>
      </x:c>
      <x:c r="C238" s="102">
        <x:v>2</x:v>
      </x:c>
      <x:c r="D238" s="102">
        <x:v>2</x:v>
      </x:c>
      <x:c r="E238" s="269" t="s">
        <x:v>228</x:v>
      </x:c>
      <x:c r="F238" s="269"/>
      <x:c r="G238" s="269" t="s">
        <x:v>235</x:v>
      </x:c>
      <x:c r="H238" s="269"/>
    </x:row>
    <x:row r="239" ht="48" customHeight="1">
      <x:c r="A239" s="269" t="s">
        <x:v>470</x:v>
      </x:c>
      <x:c r="B239" s="102" t="n">
        <x:f>MAX(C239:D239)</x:f>
        <x:v>3</x:v>
      </x:c>
      <x:c r="C239" s="102">
        <x:v>2</x:v>
      </x:c>
      <x:c r="D239" s="102">
        <x:v>3</x:v>
      </x:c>
      <x:c r="E239" s="269" t="s">
        <x:v>228</x:v>
      </x:c>
      <x:c r="F239" s="269"/>
      <x:c r="G239" s="269" t="s">
        <x:v>300</x:v>
      </x:c>
      <x:c r="H239" s="269"/>
    </x:row>
    <x:row r="240" ht="48" customHeight="1">
      <x:c r="A240" s="269" t="s">
        <x:v>471</x:v>
      </x:c>
      <x:c r="B240" s="102" t="n">
        <x:f>MAX(C240:D240)</x:f>
        <x:v>2</x:v>
      </x:c>
      <x:c r="C240" s="102">
        <x:v>2</x:v>
      </x:c>
      <x:c r="D240" s="102">
        <x:v>2</x:v>
      </x:c>
      <x:c r="E240" s="269" t="s">
        <x:v>228</x:v>
      </x:c>
      <x:c r="F240" s="269"/>
      <x:c r="G240" s="269" t="s">
        <x:v>233</x:v>
      </x:c>
      <x:c r="H240" s="269"/>
    </x:row>
    <x:row r="241" ht="28.049999237060547" customHeight="1">
      <x:c r="A241" s="265" t="s">
        <x:v>472</x:v>
      </x:c>
      <x:c r="B241" s="266" t="n">
        <x:f>SUM(B243,B244,B245,B246,B247,B249,B250,B251,B252)</x:f>
        <x:v>33</x:v>
      </x:c>
      <x:c r="C241" s="266"/>
      <x:c r="D241" s="266"/>
      <x:c r="E241" s="265"/>
      <x:c r="F241" s="265"/>
      <x:c r="G241" s="265"/>
      <x:c r="H241" s="265"/>
    </x:row>
    <x:row r="242" ht="28.049999237060547" customHeight="1">
      <x:c r="A242" s="267" t="s">
        <x:v>373</x:v>
      </x:c>
      <x:c r="B242" s="268" t="n">
        <x:f>SUM(B243,B244,B245,B246,B247)</x:f>
        <x:v>18</x:v>
      </x:c>
      <x:c r="C242" s="268"/>
      <x:c r="D242" s="268"/>
      <x:c r="E242" s="267"/>
      <x:c r="F242" s="267"/>
      <x:c r="G242" s="267"/>
      <x:c r="H242" s="267"/>
    </x:row>
    <x:row r="243" ht="48" customHeight="1">
      <x:c r="A243" s="269" t="s">
        <x:v>473</x:v>
      </x:c>
      <x:c r="B243" s="102" t="n">
        <x:f>MAX(C243:D243)</x:f>
        <x:v>3</x:v>
      </x:c>
      <x:c r="C243" s="102">
        <x:v>3</x:v>
      </x:c>
      <x:c r="D243" s="102">
        <x:v>3</x:v>
      </x:c>
      <x:c r="E243" s="269" t="s">
        <x:v>238</x:v>
      </x:c>
      <x:c r="F243" s="269"/>
      <x:c r="G243" s="269" t="s">
        <x:v>474</x:v>
      </x:c>
      <x:c r="H243" s="269"/>
    </x:row>
    <x:row r="244" ht="48" customHeight="1">
      <x:c r="A244" s="269" t="s">
        <x:v>475</x:v>
      </x:c>
      <x:c r="B244" s="102" t="n">
        <x:f>MAX(C244:D244)</x:f>
        <x:v>4</x:v>
      </x:c>
      <x:c r="C244" s="102">
        <x:v>3</x:v>
      </x:c>
      <x:c r="D244" s="102">
        <x:v>4</x:v>
      </x:c>
      <x:c r="E244" s="269" t="s">
        <x:v>238</x:v>
      </x:c>
      <x:c r="F244" s="269"/>
      <x:c r="G244" s="269" t="s">
        <x:v>474</x:v>
      </x:c>
      <x:c r="H244" s="269"/>
    </x:row>
    <x:row r="245" ht="48" customHeight="1">
      <x:c r="A245" s="269" t="s">
        <x:v>476</x:v>
      </x:c>
      <x:c r="B245" s="102" t="n">
        <x:f>MAX(C245:D245)</x:f>
        <x:v>4</x:v>
      </x:c>
      <x:c r="C245" s="102">
        <x:v>4</x:v>
      </x:c>
      <x:c r="D245" s="102">
        <x:v>4</x:v>
      </x:c>
      <x:c r="E245" s="269" t="s">
        <x:v>477</x:v>
      </x:c>
      <x:c r="F245" s="269"/>
      <x:c r="G245" s="269" t="s">
        <x:v>478</x:v>
      </x:c>
      <x:c r="H245" s="269"/>
    </x:row>
    <x:row r="246" ht="48" customHeight="1">
      <x:c r="A246" s="269" t="s">
        <x:v>479</x:v>
      </x:c>
      <x:c r="B246" s="102" t="n">
        <x:f>MAX(C246:D246)</x:f>
        <x:v>4</x:v>
      </x:c>
      <x:c r="C246" s="102">
        <x:v>4</x:v>
      </x:c>
      <x:c r="D246" s="102">
        <x:v>4</x:v>
      </x:c>
      <x:c r="E246" s="269" t="s">
        <x:v>477</x:v>
      </x:c>
      <x:c r="F246" s="269"/>
      <x:c r="G246" s="269" t="s">
        <x:v>480</x:v>
      </x:c>
      <x:c r="H246" s="269"/>
    </x:row>
    <x:row r="247" ht="48" customHeight="1">
      <x:c r="A247" s="269" t="s">
        <x:v>481</x:v>
      </x:c>
      <x:c r="B247" s="102" t="n">
        <x:f>MAX(C247:D247)</x:f>
        <x:v>3</x:v>
      </x:c>
      <x:c r="C247" s="102">
        <x:v>2</x:v>
      </x:c>
      <x:c r="D247" s="102">
        <x:v>3</x:v>
      </x:c>
      <x:c r="E247" s="269" t="s">
        <x:v>228</x:v>
      </x:c>
      <x:c r="F247" s="269"/>
      <x:c r="G247" s="269" t="s">
        <x:v>235</x:v>
      </x:c>
      <x:c r="H247" s="269"/>
    </x:row>
    <x:row r="248" ht="28.049999237060547" customHeight="1">
      <x:c r="A248" s="267" t="s">
        <x:v>382</x:v>
      </x:c>
      <x:c r="B248" s="268" t="n">
        <x:f>SUM(B249,B250,B251,B252)</x:f>
        <x:v>15</x:v>
      </x:c>
      <x:c r="C248" s="268"/>
      <x:c r="D248" s="268"/>
      <x:c r="E248" s="267"/>
      <x:c r="F248" s="267"/>
      <x:c r="G248" s="267"/>
      <x:c r="H248" s="267"/>
    </x:row>
    <x:row r="249" ht="48" customHeight="1">
      <x:c r="A249" s="269" t="s">
        <x:v>482</x:v>
      </x:c>
      <x:c r="B249" s="102" t="n">
        <x:f>MAX(C249:D249)</x:f>
        <x:v>4</x:v>
      </x:c>
      <x:c r="C249" s="102">
        <x:v>4</x:v>
      </x:c>
      <x:c r="D249" s="102">
        <x:v>3</x:v>
      </x:c>
      <x:c r="E249" s="269" t="s">
        <x:v>477</x:v>
      </x:c>
      <x:c r="F249" s="269"/>
      <x:c r="G249" s="269" t="s">
        <x:v>483</x:v>
      </x:c>
      <x:c r="H249" s="269"/>
    </x:row>
    <x:row r="250" ht="48" customHeight="1">
      <x:c r="A250" s="269" t="s">
        <x:v>484</x:v>
      </x:c>
      <x:c r="B250" s="102" t="n">
        <x:f>MAX(C250:D250)</x:f>
        <x:v>4</x:v>
      </x:c>
      <x:c r="C250" s="102">
        <x:v>4</x:v>
      </x:c>
      <x:c r="D250" s="102">
        <x:v>4</x:v>
      </x:c>
      <x:c r="E250" s="269" t="s">
        <x:v>477</x:v>
      </x:c>
      <x:c r="F250" s="269"/>
      <x:c r="G250" s="269" t="s">
        <x:v>485</x:v>
      </x:c>
      <x:c r="H250" s="269"/>
    </x:row>
    <x:row r="251" ht="48" customHeight="1">
      <x:c r="A251" s="269" t="s">
        <x:v>486</x:v>
      </x:c>
      <x:c r="B251" s="102" t="n">
        <x:f>MAX(C251:D251)</x:f>
        <x:v>4</x:v>
      </x:c>
      <x:c r="C251" s="102">
        <x:v>4</x:v>
      </x:c>
      <x:c r="D251" s="102">
        <x:v>4</x:v>
      </x:c>
      <x:c r="E251" s="269" t="s">
        <x:v>477</x:v>
      </x:c>
      <x:c r="F251" s="269"/>
      <x:c r="G251" s="269" t="s">
        <x:v>487</x:v>
      </x:c>
      <x:c r="H251" s="269"/>
    </x:row>
    <x:row r="252" ht="48" customHeight="1">
      <x:c r="A252" s="269" t="s">
        <x:v>488</x:v>
      </x:c>
      <x:c r="B252" s="102" t="n">
        <x:f>MAX(C252:D252)</x:f>
        <x:v>3</x:v>
      </x:c>
      <x:c r="C252" s="102">
        <x:v>2</x:v>
      </x:c>
      <x:c r="D252" s="102">
        <x:v>3</x:v>
      </x:c>
      <x:c r="E252" s="269" t="s">
        <x:v>228</x:v>
      </x:c>
      <x:c r="F252" s="269"/>
      <x:c r="G252" s="269" t="s">
        <x:v>233</x:v>
      </x:c>
      <x:c r="H252" s="269"/>
    </x:row>
    <x:row r="253" ht="28.049999237060547" customHeight="1">
      <x:c r="A253" s="265" t="s">
        <x:v>489</x:v>
      </x:c>
      <x:c r="B253" s="266" t="n">
        <x:f>SUM(B255,B256,B257,B259,B260,B261,B262,B264,B265,B266,B267,B268,B270,B271,B272,B274,B275,B276,B278,B279,B280,B281)</x:f>
        <x:v>56</x:v>
      </x:c>
      <x:c r="C253" s="266"/>
      <x:c r="D253" s="266"/>
      <x:c r="E253" s="265"/>
      <x:c r="F253" s="265"/>
      <x:c r="G253" s="265"/>
      <x:c r="H253" s="265"/>
    </x:row>
    <x:row r="254" ht="28.049999237060547" customHeight="1">
      <x:c r="A254" s="267" t="s">
        <x:v>260</x:v>
      </x:c>
      <x:c r="B254" s="268" t="n">
        <x:f>SUM(B255,B256,B257)</x:f>
        <x:v>8</x:v>
      </x:c>
      <x:c r="C254" s="268"/>
      <x:c r="D254" s="268"/>
      <x:c r="E254" s="267"/>
      <x:c r="F254" s="267"/>
      <x:c r="G254" s="267"/>
      <x:c r="H254" s="267"/>
    </x:row>
    <x:row r="255" ht="48" customHeight="1">
      <x:c r="A255" s="269" t="s">
        <x:v>490</x:v>
      </x:c>
      <x:c r="B255" s="102" t="n">
        <x:f>MAX(C255:D255)</x:f>
        <x:v>3</x:v>
      </x:c>
      <x:c r="C255" s="102">
        <x:v>2</x:v>
      </x:c>
      <x:c r="D255" s="102">
        <x:v>3</x:v>
      </x:c>
      <x:c r="E255" s="269" t="s">
        <x:v>228</x:v>
      </x:c>
      <x:c r="F255" s="269"/>
      <x:c r="G255" s="269" t="s">
        <x:v>235</x:v>
      </x:c>
      <x:c r="H255" s="269"/>
    </x:row>
    <x:row r="256" ht="48" customHeight="1">
      <x:c r="A256" s="269" t="s">
        <x:v>491</x:v>
      </x:c>
      <x:c r="B256" s="102" t="n">
        <x:f>MAX(C256:D256)</x:f>
        <x:v>2</x:v>
      </x:c>
      <x:c r="C256" s="102">
        <x:v>2</x:v>
      </x:c>
      <x:c r="D256" s="102">
        <x:v>2</x:v>
      </x:c>
      <x:c r="E256" s="269" t="s">
        <x:v>228</x:v>
      </x:c>
      <x:c r="F256" s="269"/>
      <x:c r="G256" s="269" t="s">
        <x:v>235</x:v>
      </x:c>
      <x:c r="H256" s="269"/>
    </x:row>
    <x:row r="257" ht="48" customHeight="1">
      <x:c r="A257" s="269" t="s">
        <x:v>492</x:v>
      </x:c>
      <x:c r="B257" s="102" t="n">
        <x:f>MAX(C257:D257)</x:f>
        <x:v>3</x:v>
      </x:c>
      <x:c r="C257" s="102">
        <x:v>2</x:v>
      </x:c>
      <x:c r="D257" s="102">
        <x:v>3</x:v>
      </x:c>
      <x:c r="E257" s="269" t="s">
        <x:v>228</x:v>
      </x:c>
      <x:c r="F257" s="269"/>
      <x:c r="G257" s="269" t="s">
        <x:v>441</x:v>
      </x:c>
      <x:c r="H257" s="269"/>
    </x:row>
    <x:row r="258" ht="28.049999237060547" customHeight="1">
      <x:c r="A258" s="267" t="s">
        <x:v>266</x:v>
      </x:c>
      <x:c r="B258" s="268" t="n">
        <x:f>SUM(B259,B260,B261,B262)</x:f>
        <x:v>9</x:v>
      </x:c>
      <x:c r="C258" s="268"/>
      <x:c r="D258" s="268"/>
      <x:c r="E258" s="267"/>
      <x:c r="F258" s="267"/>
      <x:c r="G258" s="267"/>
      <x:c r="H258" s="267"/>
    </x:row>
    <x:row r="259" ht="48" customHeight="1">
      <x:c r="A259" s="269" t="s">
        <x:v>493</x:v>
      </x:c>
      <x:c r="B259" s="102" t="n">
        <x:f>MAX(C259:D259)</x:f>
        <x:v>3</x:v>
      </x:c>
      <x:c r="C259" s="102">
        <x:v>2</x:v>
      </x:c>
      <x:c r="D259" s="102">
        <x:v>3</x:v>
      </x:c>
      <x:c r="E259" s="269" t="s">
        <x:v>228</x:v>
      </x:c>
      <x:c r="F259" s="269"/>
      <x:c r="G259" s="269" t="s">
        <x:v>233</x:v>
      </x:c>
      <x:c r="H259" s="269"/>
    </x:row>
    <x:row r="260" ht="48" customHeight="1">
      <x:c r="A260" s="269" t="s">
        <x:v>494</x:v>
      </x:c>
      <x:c r="B260" s="102" t="n">
        <x:f>MAX(C260:D260)</x:f>
        <x:v>1</x:v>
      </x:c>
      <x:c r="C260" s="102">
        <x:v>1</x:v>
      </x:c>
      <x:c r="D260" s="102">
        <x:v>1</x:v>
      </x:c>
      <x:c r="E260" s="269" t="s">
        <x:v>231</x:v>
      </x:c>
      <x:c r="F260" s="269"/>
      <x:c r="G260" s="269" t="s">
        <x:v>233</x:v>
      </x:c>
      <x:c r="H260" s="269"/>
    </x:row>
    <x:row r="261" ht="48" customHeight="1">
      <x:c r="A261" s="269" t="s">
        <x:v>495</x:v>
      </x:c>
      <x:c r="B261" s="102" t="n">
        <x:f>MAX(C261:D261)</x:f>
        <x:v>2</x:v>
      </x:c>
      <x:c r="C261" s="102">
        <x:v>2</x:v>
      </x:c>
      <x:c r="D261" s="102">
        <x:v>2</x:v>
      </x:c>
      <x:c r="E261" s="269" t="s">
        <x:v>228</x:v>
      </x:c>
      <x:c r="F261" s="269"/>
      <x:c r="G261" s="269" t="s">
        <x:v>235</x:v>
      </x:c>
      <x:c r="H261" s="269"/>
    </x:row>
    <x:row r="262" ht="48" customHeight="1">
      <x:c r="A262" s="269" t="s">
        <x:v>496</x:v>
      </x:c>
      <x:c r="B262" s="102" t="n">
        <x:f>MAX(C262:D262)</x:f>
        <x:v>3</x:v>
      </x:c>
      <x:c r="C262" s="102">
        <x:v>2</x:v>
      </x:c>
      <x:c r="D262" s="102">
        <x:v>3</x:v>
      </x:c>
      <x:c r="E262" s="269" t="s">
        <x:v>228</x:v>
      </x:c>
      <x:c r="F262" s="269"/>
      <x:c r="G262" s="269" t="s">
        <x:v>441</x:v>
      </x:c>
      <x:c r="H262" s="269"/>
    </x:row>
    <x:row r="263" ht="28.049999237060547" customHeight="1">
      <x:c r="A263" s="267" t="s">
        <x:v>271</x:v>
      </x:c>
      <x:c r="B263" s="268" t="n">
        <x:f>SUM(B264,B265,B266,B267,B268)</x:f>
        <x:v>11</x:v>
      </x:c>
      <x:c r="C263" s="268"/>
      <x:c r="D263" s="268"/>
      <x:c r="E263" s="267"/>
      <x:c r="F263" s="267"/>
      <x:c r="G263" s="267"/>
      <x:c r="H263" s="267"/>
    </x:row>
    <x:row r="264" ht="48" customHeight="1">
      <x:c r="A264" s="269" t="s">
        <x:v>497</x:v>
      </x:c>
      <x:c r="B264" s="102" t="n">
        <x:f>MAX(C264:D264)</x:f>
        <x:v>2</x:v>
      </x:c>
      <x:c r="C264" s="102">
        <x:v>2</x:v>
      </x:c>
      <x:c r="D264" s="102">
        <x:v>2</x:v>
      </x:c>
      <x:c r="E264" s="269" t="s">
        <x:v>228</x:v>
      </x:c>
      <x:c r="F264" s="269"/>
      <x:c r="G264" s="269" t="s">
        <x:v>235</x:v>
      </x:c>
      <x:c r="H264" s="269"/>
    </x:row>
    <x:row r="265" ht="48" customHeight="1">
      <x:c r="A265" s="269" t="s">
        <x:v>498</x:v>
      </x:c>
      <x:c r="B265" s="102" t="n">
        <x:f>MAX(C265:D265)</x:f>
        <x:v>3</x:v>
      </x:c>
      <x:c r="C265" s="102">
        <x:v>2</x:v>
      </x:c>
      <x:c r="D265" s="102">
        <x:v>3</x:v>
      </x:c>
      <x:c r="E265" s="269" t="s">
        <x:v>228</x:v>
      </x:c>
      <x:c r="F265" s="269"/>
      <x:c r="G265" s="269" t="s">
        <x:v>235</x:v>
      </x:c>
      <x:c r="H265" s="269"/>
    </x:row>
    <x:row r="266" ht="48" customHeight="1">
      <x:c r="A266" s="269" t="s">
        <x:v>499</x:v>
      </x:c>
      <x:c r="B266" s="102" t="n">
        <x:f>MAX(C266:D266)</x:f>
        <x:v>2</x:v>
      </x:c>
      <x:c r="C266" s="102">
        <x:v>1</x:v>
      </x:c>
      <x:c r="D266" s="102">
        <x:v>2</x:v>
      </x:c>
      <x:c r="E266" s="269" t="s">
        <x:v>231</x:v>
      </x:c>
      <x:c r="F266" s="269"/>
      <x:c r="G266" s="269" t="s">
        <x:v>235</x:v>
      </x:c>
      <x:c r="H266" s="269"/>
    </x:row>
    <x:row r="267" ht="48" customHeight="1">
      <x:c r="A267" s="269" t="s">
        <x:v>500</x:v>
      </x:c>
      <x:c r="B267" s="102" t="n">
        <x:f>MAX(C267:D267)</x:f>
        <x:v>2</x:v>
      </x:c>
      <x:c r="C267" s="102">
        <x:v>2</x:v>
      </x:c>
      <x:c r="D267" s="102">
        <x:v>2</x:v>
      </x:c>
      <x:c r="E267" s="269" t="s">
        <x:v>228</x:v>
      </x:c>
      <x:c r="F267" s="269"/>
      <x:c r="G267" s="269" t="s">
        <x:v>242</x:v>
      </x:c>
      <x:c r="H267" s="269"/>
    </x:row>
    <x:row r="268" ht="48" customHeight="1">
      <x:c r="A268" s="269" t="s">
        <x:v>501</x:v>
      </x:c>
      <x:c r="B268" s="102" t="n">
        <x:f>MAX(C268:D268)</x:f>
        <x:v>2</x:v>
      </x:c>
      <x:c r="C268" s="102">
        <x:v>1</x:v>
      </x:c>
      <x:c r="D268" s="102">
        <x:v>2</x:v>
      </x:c>
      <x:c r="E268" s="269" t="s">
        <x:v>231</x:v>
      </x:c>
      <x:c r="F268" s="269"/>
      <x:c r="G268" s="269" t="s">
        <x:v>502</x:v>
      </x:c>
      <x:c r="H268" s="269"/>
    </x:row>
    <x:row r="269" ht="28.049999237060547" customHeight="1">
      <x:c r="A269" s="267" t="s">
        <x:v>278</x:v>
      </x:c>
      <x:c r="B269" s="268" t="n">
        <x:f>SUM(B270,B271,B272)</x:f>
        <x:v>9</x:v>
      </x:c>
      <x:c r="C269" s="268"/>
      <x:c r="D269" s="268"/>
      <x:c r="E269" s="267"/>
      <x:c r="F269" s="267"/>
      <x:c r="G269" s="267"/>
      <x:c r="H269" s="267"/>
    </x:row>
    <x:row r="270" ht="48" customHeight="1">
      <x:c r="A270" s="269" t="s">
        <x:v>503</x:v>
      </x:c>
      <x:c r="B270" s="102" t="n">
        <x:f>MAX(C270:D270)</x:f>
        <x:v>3</x:v>
      </x:c>
      <x:c r="C270" s="102">
        <x:v>2</x:v>
      </x:c>
      <x:c r="D270" s="102">
        <x:v>3</x:v>
      </x:c>
      <x:c r="E270" s="269" t="s">
        <x:v>228</x:v>
      </x:c>
      <x:c r="F270" s="269"/>
      <x:c r="G270" s="269" t="s">
        <x:v>235</x:v>
      </x:c>
      <x:c r="H270" s="269"/>
    </x:row>
    <x:row r="271" ht="48" customHeight="1">
      <x:c r="A271" s="269" t="s">
        <x:v>504</x:v>
      </x:c>
      <x:c r="B271" s="102" t="n">
        <x:f>MAX(C271:D271)</x:f>
        <x:v>3</x:v>
      </x:c>
      <x:c r="C271" s="102">
        <x:v>3</x:v>
      </x:c>
      <x:c r="D271" s="102">
        <x:v>3</x:v>
      </x:c>
      <x:c r="E271" s="269" t="s">
        <x:v>238</x:v>
      </x:c>
      <x:c r="F271" s="269"/>
      <x:c r="G271" s="269" t="s">
        <x:v>235</x:v>
      </x:c>
      <x:c r="H271" s="269"/>
    </x:row>
    <x:row r="272" ht="48" customHeight="1">
      <x:c r="A272" s="269" t="s">
        <x:v>505</x:v>
      </x:c>
      <x:c r="B272" s="102" t="n">
        <x:f>MAX(C272:D272)</x:f>
        <x:v>3</x:v>
      </x:c>
      <x:c r="C272" s="102">
        <x:v>2</x:v>
      </x:c>
      <x:c r="D272" s="102">
        <x:v>3</x:v>
      </x:c>
      <x:c r="E272" s="269" t="s">
        <x:v>228</x:v>
      </x:c>
      <x:c r="F272" s="269"/>
      <x:c r="G272" s="269" t="s">
        <x:v>242</x:v>
      </x:c>
      <x:c r="H272" s="269"/>
    </x:row>
    <x:row r="273" ht="28.049999237060547" customHeight="1">
      <x:c r="A273" s="267" t="s">
        <x:v>284</x:v>
      </x:c>
      <x:c r="B273" s="268" t="n">
        <x:f>SUM(B274,B275,B276)</x:f>
        <x:v>9</x:v>
      </x:c>
      <x:c r="C273" s="268"/>
      <x:c r="D273" s="268"/>
      <x:c r="E273" s="267"/>
      <x:c r="F273" s="267"/>
      <x:c r="G273" s="267"/>
      <x:c r="H273" s="267"/>
    </x:row>
    <x:row r="274" ht="48" customHeight="1">
      <x:c r="A274" s="269" t="s">
        <x:v>506</x:v>
      </x:c>
      <x:c r="B274" s="102" t="n">
        <x:f>MAX(C274:D274)</x:f>
        <x:v>3</x:v>
      </x:c>
      <x:c r="C274" s="102">
        <x:v>3</x:v>
      </x:c>
      <x:c r="D274" s="102">
        <x:v>3</x:v>
      </x:c>
      <x:c r="E274" s="269" t="s">
        <x:v>238</x:v>
      </x:c>
      <x:c r="F274" s="269"/>
      <x:c r="G274" s="269" t="s">
        <x:v>233</x:v>
      </x:c>
      <x:c r="H274" s="269"/>
    </x:row>
    <x:row r="275" ht="48" customHeight="1">
      <x:c r="A275" s="269" t="s">
        <x:v>507</x:v>
      </x:c>
      <x:c r="B275" s="102" t="n">
        <x:f>MAX(C275:D275)</x:f>
        <x:v>3</x:v>
      </x:c>
      <x:c r="C275" s="102">
        <x:v>3</x:v>
      </x:c>
      <x:c r="D275" s="102">
        <x:v>3</x:v>
      </x:c>
      <x:c r="E275" s="269" t="s">
        <x:v>238</x:v>
      </x:c>
      <x:c r="F275" s="269"/>
      <x:c r="G275" s="269" t="s">
        <x:v>508</x:v>
      </x:c>
      <x:c r="H275" s="269"/>
    </x:row>
    <x:row r="276" ht="48" customHeight="1">
      <x:c r="A276" s="269" t="s">
        <x:v>509</x:v>
      </x:c>
      <x:c r="B276" s="102" t="n">
        <x:f>MAX(C276:D276)</x:f>
        <x:v>3</x:v>
      </x:c>
      <x:c r="C276" s="102">
        <x:v>3</x:v>
      </x:c>
      <x:c r="D276" s="102">
        <x:v>3</x:v>
      </x:c>
      <x:c r="E276" s="269" t="s">
        <x:v>238</x:v>
      </x:c>
      <x:c r="F276" s="269"/>
      <x:c r="G276" s="269" t="s">
        <x:v>508</x:v>
      </x:c>
      <x:c r="H276" s="269"/>
    </x:row>
    <x:row r="277" ht="28.049999237060547" customHeight="1">
      <x:c r="A277" s="267" t="s">
        <x:v>290</x:v>
      </x:c>
      <x:c r="B277" s="268" t="n">
        <x:f>SUM(B278,B279,B280,B281)</x:f>
        <x:v>10</x:v>
      </x:c>
      <x:c r="C277" s="268"/>
      <x:c r="D277" s="268"/>
      <x:c r="E277" s="267"/>
      <x:c r="F277" s="267"/>
      <x:c r="G277" s="267"/>
      <x:c r="H277" s="267"/>
    </x:row>
    <x:row r="278" ht="48" customHeight="1">
      <x:c r="A278" s="269" t="s">
        <x:v>510</x:v>
      </x:c>
      <x:c r="B278" s="102" t="n">
        <x:f>MAX(C278:D278)</x:f>
        <x:v>2</x:v>
      </x:c>
      <x:c r="C278" s="102">
        <x:v>2</x:v>
      </x:c>
      <x:c r="D278" s="102">
        <x:v>2</x:v>
      </x:c>
      <x:c r="E278" s="269" t="s">
        <x:v>228</x:v>
      </x:c>
      <x:c r="F278" s="269"/>
      <x:c r="G278" s="269" t="s">
        <x:v>235</x:v>
      </x:c>
      <x:c r="H278" s="269"/>
    </x:row>
    <x:row r="279" ht="48" customHeight="1">
      <x:c r="A279" s="269" t="s">
        <x:v>511</x:v>
      </x:c>
      <x:c r="B279" s="102" t="n">
        <x:f>MAX(C279:D279)</x:f>
        <x:v>3</x:v>
      </x:c>
      <x:c r="C279" s="102">
        <x:v>3</x:v>
      </x:c>
      <x:c r="D279" s="102">
        <x:v>3</x:v>
      </x:c>
      <x:c r="E279" s="269" t="s">
        <x:v>238</x:v>
      </x:c>
      <x:c r="F279" s="269"/>
      <x:c r="G279" s="269" t="s">
        <x:v>502</x:v>
      </x:c>
      <x:c r="H279" s="269"/>
    </x:row>
    <x:row r="280" ht="48" customHeight="1">
      <x:c r="A280" s="269" t="s">
        <x:v>512</x:v>
      </x:c>
      <x:c r="B280" s="102" t="n">
        <x:f>MAX(C280:D280)</x:f>
        <x:v>2</x:v>
      </x:c>
      <x:c r="C280" s="102">
        <x:v>1</x:v>
      </x:c>
      <x:c r="D280" s="102">
        <x:v>2</x:v>
      </x:c>
      <x:c r="E280" s="269" t="s">
        <x:v>231</x:v>
      </x:c>
      <x:c r="F280" s="269"/>
      <x:c r="G280" s="269" t="s">
        <x:v>441</x:v>
      </x:c>
      <x:c r="H280" s="269"/>
    </x:row>
    <x:row r="281" ht="48" customHeight="1">
      <x:c r="A281" s="269" t="s">
        <x:v>513</x:v>
      </x:c>
      <x:c r="B281" s="102" t="n">
        <x:f>MAX(C281:D281)</x:f>
        <x:v>3</x:v>
      </x:c>
      <x:c r="C281" s="102">
        <x:v>3</x:v>
      </x:c>
      <x:c r="D281" s="102">
        <x:v>3</x:v>
      </x:c>
      <x:c r="E281" s="269" t="s">
        <x:v>238</x:v>
      </x:c>
      <x:c r="F281" s="269"/>
      <x:c r="G281" s="269" t="s">
        <x:v>415</x:v>
      </x:c>
      <x:c r="H281" s="269" t="s">
        <x:v>324</x:v>
      </x:c>
    </x:row>
    <x:row r="282" ht="28.049999237060547" customHeight="1">
      <x:c r="A282" s="265" t="s">
        <x:v>514</x:v>
      </x:c>
      <x:c r="B282" s="266" t="n">
        <x:f>SUM(B284,B285,B286,B287,B289,B290,B291,B292,B293,B294,B295,B297,B298,B299,B300,B302,B303,B304,B306,B307,B308,B309,B310,B311,B312,B314,B315,B316,B317,B318,B319,B320,B321,B322,B323)</x:f>
        <x:v>85</x:v>
      </x:c>
      <x:c r="C282" s="266"/>
      <x:c r="D282" s="266"/>
      <x:c r="E282" s="265"/>
      <x:c r="F282" s="265"/>
      <x:c r="G282" s="265"/>
      <x:c r="H282" s="265"/>
    </x:row>
    <x:row r="283" ht="28.049999237060547" customHeight="1">
      <x:c r="A283" s="267" t="s">
        <x:v>316</x:v>
      </x:c>
      <x:c r="B283" s="268" t="n">
        <x:f>SUM(B284,B285,B286,B287)</x:f>
        <x:v>11</x:v>
      </x:c>
      <x:c r="C283" s="268"/>
      <x:c r="D283" s="268"/>
      <x:c r="E283" s="267"/>
      <x:c r="F283" s="267"/>
      <x:c r="G283" s="267"/>
      <x:c r="H283" s="267"/>
    </x:row>
    <x:row r="284" ht="48" customHeight="1">
      <x:c r="A284" s="269" t="s">
        <x:v>515</x:v>
      </x:c>
      <x:c r="B284" s="102" t="n">
        <x:f>MAX(C284:D284)</x:f>
        <x:v>3</x:v>
      </x:c>
      <x:c r="C284" s="102">
        <x:v>3</x:v>
      </x:c>
      <x:c r="D284" s="102">
        <x:v>2</x:v>
      </x:c>
      <x:c r="E284" s="269" t="s">
        <x:v>238</x:v>
      </x:c>
      <x:c r="F284" s="269"/>
      <x:c r="G284" s="269" t="s">
        <x:v>502</x:v>
      </x:c>
      <x:c r="H284" s="269"/>
    </x:row>
    <x:row r="285" ht="48" customHeight="1">
      <x:c r="A285" s="269" t="s">
        <x:v>516</x:v>
      </x:c>
      <x:c r="B285" s="102" t="n">
        <x:f>MAX(C285:D285)</x:f>
        <x:v>2</x:v>
      </x:c>
      <x:c r="C285" s="102">
        <x:v>2</x:v>
      </x:c>
      <x:c r="D285" s="102">
        <x:v>2</x:v>
      </x:c>
      <x:c r="E285" s="269" t="s">
        <x:v>228</x:v>
      </x:c>
      <x:c r="F285" s="269"/>
      <x:c r="G285" s="269" t="s">
        <x:v>235</x:v>
      </x:c>
      <x:c r="H285" s="269"/>
    </x:row>
    <x:row r="286" ht="48" customHeight="1">
      <x:c r="A286" s="269" t="s">
        <x:v>517</x:v>
      </x:c>
      <x:c r="B286" s="102" t="n">
        <x:f>MAX(C286:D286)</x:f>
        <x:v>3</x:v>
      </x:c>
      <x:c r="C286" s="102">
        <x:v>3</x:v>
      </x:c>
      <x:c r="D286" s="102">
        <x:v>3</x:v>
      </x:c>
      <x:c r="E286" s="269" t="s">
        <x:v>238</x:v>
      </x:c>
      <x:c r="F286" s="269"/>
      <x:c r="G286" s="269" t="s">
        <x:v>320</x:v>
      </x:c>
      <x:c r="H286" s="269" t="s">
        <x:v>321</x:v>
      </x:c>
    </x:row>
    <x:row r="287" ht="48" customHeight="1">
      <x:c r="A287" s="269" t="s">
        <x:v>518</x:v>
      </x:c>
      <x:c r="B287" s="102" t="n">
        <x:f>MAX(C287:D287)</x:f>
        <x:v>3</x:v>
      </x:c>
      <x:c r="C287" s="102">
        <x:v>2</x:v>
      </x:c>
      <x:c r="D287" s="102">
        <x:v>3</x:v>
      </x:c>
      <x:c r="E287" s="269" t="s">
        <x:v>228</x:v>
      </x:c>
      <x:c r="F287" s="269"/>
      <x:c r="G287" s="269" t="s">
        <x:v>323</x:v>
      </x:c>
      <x:c r="H287" s="269" t="s">
        <x:v>324</x:v>
      </x:c>
    </x:row>
    <x:row r="288" ht="28.049999237060547" customHeight="1">
      <x:c r="A288" s="267" t="s">
        <x:v>327</x:v>
      </x:c>
      <x:c r="B288" s="268" t="n">
        <x:f>SUM(B289,B290,B291,B292,B293,B294,B295)</x:f>
        <x:v>17</x:v>
      </x:c>
      <x:c r="C288" s="268"/>
      <x:c r="D288" s="268"/>
      <x:c r="E288" s="267"/>
      <x:c r="F288" s="267"/>
      <x:c r="G288" s="267"/>
      <x:c r="H288" s="267"/>
    </x:row>
    <x:row r="289" ht="48" customHeight="1">
      <x:c r="A289" s="269" t="s">
        <x:v>519</x:v>
      </x:c>
      <x:c r="B289" s="102" t="n">
        <x:f>MAX(C289:D289)</x:f>
        <x:v>3</x:v>
      </x:c>
      <x:c r="C289" s="102">
        <x:v>2</x:v>
      </x:c>
      <x:c r="D289" s="102">
        <x:v>3</x:v>
      </x:c>
      <x:c r="E289" s="269" t="s">
        <x:v>228</x:v>
      </x:c>
      <x:c r="F289" s="269"/>
      <x:c r="G289" s="269" t="s">
        <x:v>300</x:v>
      </x:c>
      <x:c r="H289" s="269"/>
    </x:row>
    <x:row r="290" ht="48" customHeight="1">
      <x:c r="A290" s="269" t="s">
        <x:v>520</x:v>
      </x:c>
      <x:c r="B290" s="102" t="n">
        <x:f>MAX(C290:D290)</x:f>
        <x:v>3</x:v>
      </x:c>
      <x:c r="C290" s="102">
        <x:v>2</x:v>
      </x:c>
      <x:c r="D290" s="102">
        <x:v>3</x:v>
      </x:c>
      <x:c r="E290" s="269" t="s">
        <x:v>228</x:v>
      </x:c>
      <x:c r="F290" s="269"/>
      <x:c r="G290" s="269" t="s">
        <x:v>235</x:v>
      </x:c>
      <x:c r="H290" s="269"/>
    </x:row>
    <x:row r="291" ht="48" customHeight="1">
      <x:c r="A291" s="269" t="s">
        <x:v>521</x:v>
      </x:c>
      <x:c r="B291" s="102" t="n">
        <x:f>MAX(C291:D291)</x:f>
        <x:v>2</x:v>
      </x:c>
      <x:c r="C291" s="102">
        <x:v>1</x:v>
      </x:c>
      <x:c r="D291" s="102">
        <x:v>2</x:v>
      </x:c>
      <x:c r="E291" s="269" t="s">
        <x:v>231</x:v>
      </x:c>
      <x:c r="F291" s="269"/>
      <x:c r="G291" s="269" t="s">
        <x:v>502</x:v>
      </x:c>
      <x:c r="H291" s="269"/>
    </x:row>
    <x:row r="292" ht="48" customHeight="1">
      <x:c r="A292" s="269" t="s">
        <x:v>522</x:v>
      </x:c>
      <x:c r="B292" s="102" t="n">
        <x:f>MAX(C292:D292)</x:f>
        <x:v>2</x:v>
      </x:c>
      <x:c r="C292" s="102">
        <x:v>2</x:v>
      </x:c>
      <x:c r="D292" s="102">
        <x:v>2</x:v>
      </x:c>
      <x:c r="E292" s="269" t="s">
        <x:v>228</x:v>
      </x:c>
      <x:c r="F292" s="269"/>
      <x:c r="G292" s="269" t="s">
        <x:v>235</x:v>
      </x:c>
      <x:c r="H292" s="269"/>
    </x:row>
    <x:row r="293" ht="48" customHeight="1">
      <x:c r="A293" s="269" t="s">
        <x:v>523</x:v>
      </x:c>
      <x:c r="B293" s="102" t="n">
        <x:f>MAX(C293:D293)</x:f>
        <x:v>3</x:v>
      </x:c>
      <x:c r="C293" s="102">
        <x:v>2</x:v>
      </x:c>
      <x:c r="D293" s="102">
        <x:v>3</x:v>
      </x:c>
      <x:c r="E293" s="269" t="s">
        <x:v>228</x:v>
      </x:c>
      <x:c r="F293" s="269"/>
      <x:c r="G293" s="269" t="s">
        <x:v>441</x:v>
      </x:c>
      <x:c r="H293" s="269"/>
    </x:row>
    <x:row r="294" ht="48" customHeight="1">
      <x:c r="A294" s="269" t="s">
        <x:v>524</x:v>
      </x:c>
      <x:c r="B294" s="102" t="n">
        <x:f>MAX(C294:D294)</x:f>
        <x:v>1</x:v>
      </x:c>
      <x:c r="C294" s="102">
        <x:v>1</x:v>
      </x:c>
      <x:c r="D294" s="102">
        <x:v>1</x:v>
      </x:c>
      <x:c r="E294" s="269" t="s">
        <x:v>231</x:v>
      </x:c>
      <x:c r="F294" s="269"/>
      <x:c r="G294" s="269" t="s">
        <x:v>233</x:v>
      </x:c>
      <x:c r="H294" s="269"/>
    </x:row>
    <x:row r="295" ht="48" customHeight="1">
      <x:c r="A295" s="269" t="s">
        <x:v>525</x:v>
      </x:c>
      <x:c r="B295" s="102" t="n">
        <x:f>MAX(C295:D295)</x:f>
        <x:v>3</x:v>
      </x:c>
      <x:c r="C295" s="102">
        <x:v>3</x:v>
      </x:c>
      <x:c r="D295" s="102">
        <x:v>3</x:v>
      </x:c>
      <x:c r="E295" s="269" t="s">
        <x:v>238</x:v>
      </x:c>
      <x:c r="F295" s="269"/>
      <x:c r="G295" s="269" t="s">
        <x:v>415</x:v>
      </x:c>
      <x:c r="H295" s="269"/>
    </x:row>
    <x:row r="296" ht="28.049999237060547" customHeight="1">
      <x:c r="A296" s="267" t="s">
        <x:v>338</x:v>
      </x:c>
      <x:c r="B296" s="268" t="n">
        <x:f>SUM(B297,B298,B299,B300)</x:f>
        <x:v>10</x:v>
      </x:c>
      <x:c r="C296" s="268"/>
      <x:c r="D296" s="268"/>
      <x:c r="E296" s="267"/>
      <x:c r="F296" s="267"/>
      <x:c r="G296" s="267"/>
      <x:c r="H296" s="267"/>
    </x:row>
    <x:row r="297" ht="48" customHeight="1">
      <x:c r="A297" s="269" t="s">
        <x:v>526</x:v>
      </x:c>
      <x:c r="B297" s="102" t="n">
        <x:f>MAX(C297:D297)</x:f>
        <x:v>3</x:v>
      </x:c>
      <x:c r="C297" s="102">
        <x:v>3</x:v>
      </x:c>
      <x:c r="D297" s="102">
        <x:v>3</x:v>
      </x:c>
      <x:c r="E297" s="269" t="s">
        <x:v>238</x:v>
      </x:c>
      <x:c r="F297" s="269"/>
      <x:c r="G297" s="269" t="s">
        <x:v>441</x:v>
      </x:c>
      <x:c r="H297" s="269"/>
    </x:row>
    <x:row r="298" ht="48" customHeight="1">
      <x:c r="A298" s="269" t="s">
        <x:v>527</x:v>
      </x:c>
      <x:c r="B298" s="102" t="n">
        <x:f>MAX(C298:D298)</x:f>
        <x:v>3</x:v>
      </x:c>
      <x:c r="C298" s="102">
        <x:v>2</x:v>
      </x:c>
      <x:c r="D298" s="102">
        <x:v>3</x:v>
      </x:c>
      <x:c r="E298" s="269" t="s">
        <x:v>228</x:v>
      </x:c>
      <x:c r="F298" s="269"/>
      <x:c r="G298" s="269" t="s">
        <x:v>235</x:v>
      </x:c>
      <x:c r="H298" s="269"/>
    </x:row>
    <x:row r="299" ht="48" customHeight="1">
      <x:c r="A299" s="269" t="s">
        <x:v>528</x:v>
      </x:c>
      <x:c r="B299" s="102" t="n">
        <x:f>MAX(C299:D299)</x:f>
        <x:v>3</x:v>
      </x:c>
      <x:c r="C299" s="102">
        <x:v>3</x:v>
      </x:c>
      <x:c r="D299" s="102">
        <x:v>3</x:v>
      </x:c>
      <x:c r="E299" s="269" t="s">
        <x:v>238</x:v>
      </x:c>
      <x:c r="F299" s="269"/>
      <x:c r="G299" s="269" t="s">
        <x:v>435</x:v>
      </x:c>
      <x:c r="H299" s="269" t="s">
        <x:v>529</x:v>
      </x:c>
    </x:row>
    <x:row r="300" ht="48" customHeight="1">
      <x:c r="A300" s="269" t="s">
        <x:v>530</x:v>
      </x:c>
      <x:c r="B300" s="102" t="n">
        <x:f>MAX(C300:D300)</x:f>
        <x:v>1</x:v>
      </x:c>
      <x:c r="C300" s="102">
        <x:v>1</x:v>
      </x:c>
      <x:c r="D300" s="102">
        <x:v>1</x:v>
      </x:c>
      <x:c r="E300" s="269" t="s">
        <x:v>231</x:v>
      </x:c>
      <x:c r="F300" s="269"/>
      <x:c r="G300" s="269" t="s">
        <x:v>242</x:v>
      </x:c>
      <x:c r="H300" s="269"/>
    </x:row>
    <x:row r="301" ht="28.049999237060547" customHeight="1">
      <x:c r="A301" s="267" t="s">
        <x:v>343</x:v>
      </x:c>
      <x:c r="B301" s="268" t="n">
        <x:f>SUM(B302,B303,B304)</x:f>
        <x:v>9</x:v>
      </x:c>
      <x:c r="C301" s="268"/>
      <x:c r="D301" s="268"/>
      <x:c r="E301" s="267"/>
      <x:c r="F301" s="267"/>
      <x:c r="G301" s="267"/>
      <x:c r="H301" s="267"/>
    </x:row>
    <x:row r="302" ht="48" customHeight="1">
      <x:c r="A302" s="269" t="s">
        <x:v>531</x:v>
      </x:c>
      <x:c r="B302" s="102" t="n">
        <x:f>MAX(C302:D302)</x:f>
        <x:v>3</x:v>
      </x:c>
      <x:c r="C302" s="102">
        <x:v>3</x:v>
      </x:c>
      <x:c r="D302" s="102">
        <x:v>3</x:v>
      </x:c>
      <x:c r="E302" s="269" t="s">
        <x:v>238</x:v>
      </x:c>
      <x:c r="F302" s="269"/>
      <x:c r="G302" s="269" t="s">
        <x:v>323</x:v>
      </x:c>
      <x:c r="H302" s="269"/>
    </x:row>
    <x:row r="303" ht="48" customHeight="1">
      <x:c r="A303" s="269" t="s">
        <x:v>532</x:v>
      </x:c>
      <x:c r="B303" s="102" t="n">
        <x:f>MAX(C303:D303)</x:f>
        <x:v>3</x:v>
      </x:c>
      <x:c r="C303" s="102">
        <x:v>2</x:v>
      </x:c>
      <x:c r="D303" s="102">
        <x:v>3</x:v>
      </x:c>
      <x:c r="E303" s="269" t="s">
        <x:v>228</x:v>
      </x:c>
      <x:c r="F303" s="269"/>
      <x:c r="G303" s="269" t="s">
        <x:v>502</x:v>
      </x:c>
      <x:c r="H303" s="269"/>
    </x:row>
    <x:row r="304" ht="48" customHeight="1">
      <x:c r="A304" s="269" t="s">
        <x:v>533</x:v>
      </x:c>
      <x:c r="B304" s="102" t="n">
        <x:f>MAX(C304:D304)</x:f>
        <x:v>3</x:v>
      </x:c>
      <x:c r="C304" s="102">
        <x:v>2</x:v>
      </x:c>
      <x:c r="D304" s="102">
        <x:v>3</x:v>
      </x:c>
      <x:c r="E304" s="269" t="s">
        <x:v>228</x:v>
      </x:c>
      <x:c r="F304" s="269"/>
      <x:c r="G304" s="269" t="s">
        <x:v>508</x:v>
      </x:c>
      <x:c r="H304" s="269"/>
    </x:row>
    <x:row r="305" ht="28.049999237060547" customHeight="1">
      <x:c r="A305" s="267" t="s">
        <x:v>348</x:v>
      </x:c>
      <x:c r="B305" s="268" t="n">
        <x:f>SUM(B306,B307,B308,B309,B310,B311,B312)</x:f>
        <x:v>15</x:v>
      </x:c>
      <x:c r="C305" s="268"/>
      <x:c r="D305" s="268"/>
      <x:c r="E305" s="267"/>
      <x:c r="F305" s="267"/>
      <x:c r="G305" s="267"/>
      <x:c r="H305" s="267"/>
    </x:row>
    <x:row r="306" ht="48" customHeight="1">
      <x:c r="A306" s="269" t="s">
        <x:v>534</x:v>
      </x:c>
      <x:c r="B306" s="102" t="n">
        <x:f>MAX(C306:D306)</x:f>
        <x:v>2</x:v>
      </x:c>
      <x:c r="C306" s="102">
        <x:v>2</x:v>
      </x:c>
      <x:c r="D306" s="102">
        <x:v>2</x:v>
      </x:c>
      <x:c r="E306" s="269" t="s">
        <x:v>228</x:v>
      </x:c>
      <x:c r="F306" s="269"/>
      <x:c r="G306" s="269" t="s">
        <x:v>300</x:v>
      </x:c>
      <x:c r="H306" s="269"/>
    </x:row>
    <x:row r="307" ht="48" customHeight="1">
      <x:c r="A307" s="269" t="s">
        <x:v>535</x:v>
      </x:c>
      <x:c r="B307" s="102" t="n">
        <x:f>MAX(C307:D307)</x:f>
        <x:v>2</x:v>
      </x:c>
      <x:c r="C307" s="102">
        <x:v>2</x:v>
      </x:c>
      <x:c r="D307" s="102">
        <x:v>2</x:v>
      </x:c>
      <x:c r="E307" s="269" t="s">
        <x:v>228</x:v>
      </x:c>
      <x:c r="F307" s="269"/>
      <x:c r="G307" s="269" t="s">
        <x:v>242</x:v>
      </x:c>
      <x:c r="H307" s="269"/>
    </x:row>
    <x:row r="308" ht="48" customHeight="1">
      <x:c r="A308" s="269" t="s">
        <x:v>536</x:v>
      </x:c>
      <x:c r="B308" s="102" t="n">
        <x:f>MAX(C308:D308)</x:f>
        <x:v>2</x:v>
      </x:c>
      <x:c r="C308" s="102">
        <x:v>2</x:v>
      </x:c>
      <x:c r="D308" s="102">
        <x:v>2</x:v>
      </x:c>
      <x:c r="E308" s="269" t="s">
        <x:v>228</x:v>
      </x:c>
      <x:c r="F308" s="269"/>
      <x:c r="G308" s="269" t="s">
        <x:v>242</x:v>
      </x:c>
      <x:c r="H308" s="269"/>
    </x:row>
    <x:row r="309" ht="48" customHeight="1">
      <x:c r="A309" s="269" t="s">
        <x:v>537</x:v>
      </x:c>
      <x:c r="B309" s="102" t="n">
        <x:f>MAX(C309:D309)</x:f>
        <x:v>3</x:v>
      </x:c>
      <x:c r="C309" s="102">
        <x:v>2</x:v>
      </x:c>
      <x:c r="D309" s="102">
        <x:v>3</x:v>
      </x:c>
      <x:c r="E309" s="269" t="s">
        <x:v>228</x:v>
      </x:c>
      <x:c r="F309" s="269"/>
      <x:c r="G309" s="269" t="s">
        <x:v>242</x:v>
      </x:c>
      <x:c r="H309" s="269"/>
    </x:row>
    <x:row r="310" ht="48" customHeight="1">
      <x:c r="A310" s="269" t="s">
        <x:v>538</x:v>
      </x:c>
      <x:c r="B310" s="102" t="n">
        <x:f>MAX(C310:D310)</x:f>
        <x:v>2</x:v>
      </x:c>
      <x:c r="C310" s="102">
        <x:v>2</x:v>
      </x:c>
      <x:c r="D310" s="102">
        <x:v>2</x:v>
      </x:c>
      <x:c r="E310" s="269" t="s">
        <x:v>228</x:v>
      </x:c>
      <x:c r="F310" s="269"/>
      <x:c r="G310" s="269" t="s">
        <x:v>508</x:v>
      </x:c>
      <x:c r="H310" s="269"/>
    </x:row>
    <x:row r="311" ht="48" customHeight="1">
      <x:c r="A311" s="269" t="s">
        <x:v>539</x:v>
      </x:c>
      <x:c r="B311" s="102" t="n">
        <x:f>MAX(C311:D311)</x:f>
        <x:v>3</x:v>
      </x:c>
      <x:c r="C311" s="102">
        <x:v>2</x:v>
      </x:c>
      <x:c r="D311" s="102">
        <x:v>3</x:v>
      </x:c>
      <x:c r="E311" s="269" t="s">
        <x:v>228</x:v>
      </x:c>
      <x:c r="F311" s="269"/>
      <x:c r="G311" s="269" t="s">
        <x:v>441</x:v>
      </x:c>
      <x:c r="H311" s="269"/>
    </x:row>
    <x:row r="312" ht="48" customHeight="1">
      <x:c r="A312" s="269" t="s">
        <x:v>540</x:v>
      </x:c>
      <x:c r="B312" s="102" t="n">
        <x:f>MAX(C312:D312)</x:f>
        <x:v>1</x:v>
      </x:c>
      <x:c r="C312" s="102">
        <x:v>1</x:v>
      </x:c>
      <x:c r="D312" s="102">
        <x:v>1</x:v>
      </x:c>
      <x:c r="E312" s="269" t="s">
        <x:v>231</x:v>
      </x:c>
      <x:c r="F312" s="269"/>
      <x:c r="G312" s="269" t="s">
        <x:v>242</x:v>
      </x:c>
      <x:c r="H312" s="269"/>
    </x:row>
    <x:row r="313" ht="28.049999237060547" customHeight="1">
      <x:c r="A313" s="267" t="s">
        <x:v>357</x:v>
      </x:c>
      <x:c r="B313" s="268" t="n">
        <x:f>SUM(B314,B315,B316,B317,B318,B319,B320,B321,B322,B323)</x:f>
        <x:v>23</x:v>
      </x:c>
      <x:c r="C313" s="268"/>
      <x:c r="D313" s="268"/>
      <x:c r="E313" s="267"/>
      <x:c r="F313" s="267"/>
      <x:c r="G313" s="267"/>
      <x:c r="H313" s="267"/>
    </x:row>
    <x:row r="314" ht="48" customHeight="1">
      <x:c r="A314" s="269" t="s">
        <x:v>541</x:v>
      </x:c>
      <x:c r="B314" s="102" t="n">
        <x:f>MAX(C314:D314)</x:f>
        <x:v>3</x:v>
      </x:c>
      <x:c r="C314" s="102">
        <x:v>3</x:v>
      </x:c>
      <x:c r="D314" s="102">
        <x:v>3</x:v>
      </x:c>
      <x:c r="E314" s="269" t="s">
        <x:v>238</x:v>
      </x:c>
      <x:c r="F314" s="269"/>
      <x:c r="G314" s="269" t="s">
        <x:v>508</x:v>
      </x:c>
      <x:c r="H314" s="269"/>
    </x:row>
    <x:row r="315" ht="48" customHeight="1">
      <x:c r="A315" s="269" t="s">
        <x:v>542</x:v>
      </x:c>
      <x:c r="B315" s="102" t="n">
        <x:f>MAX(C315:D315)</x:f>
        <x:v>1</x:v>
      </x:c>
      <x:c r="C315" s="102">
        <x:v>1</x:v>
      </x:c>
      <x:c r="D315" s="102">
        <x:v>1</x:v>
      </x:c>
      <x:c r="E315" s="269" t="s">
        <x:v>231</x:v>
      </x:c>
      <x:c r="F315" s="269"/>
      <x:c r="G315" s="269" t="s">
        <x:v>233</x:v>
      </x:c>
      <x:c r="H315" s="269"/>
    </x:row>
    <x:row r="316" ht="48" customHeight="1">
      <x:c r="A316" s="269" t="s">
        <x:v>543</x:v>
      </x:c>
      <x:c r="B316" s="102" t="n">
        <x:f>MAX(C316:D316)</x:f>
        <x:v>3</x:v>
      </x:c>
      <x:c r="C316" s="102">
        <x:v>3</x:v>
      </x:c>
      <x:c r="D316" s="102">
        <x:v>3</x:v>
      </x:c>
      <x:c r="E316" s="269" t="s">
        <x:v>238</x:v>
      </x:c>
      <x:c r="F316" s="269"/>
      <x:c r="G316" s="269" t="s">
        <x:v>320</x:v>
      </x:c>
      <x:c r="H316" s="269"/>
    </x:row>
    <x:row r="317" ht="48" customHeight="1">
      <x:c r="A317" s="269" t="s">
        <x:v>544</x:v>
      </x:c>
      <x:c r="B317" s="102" t="n">
        <x:f>MAX(C317:D317)</x:f>
        <x:v>3</x:v>
      </x:c>
      <x:c r="C317" s="102">
        <x:v>3</x:v>
      </x:c>
      <x:c r="D317" s="102">
        <x:v>3</x:v>
      </x:c>
      <x:c r="E317" s="269" t="s">
        <x:v>238</x:v>
      </x:c>
      <x:c r="F317" s="269"/>
      <x:c r="G317" s="269" t="s">
        <x:v>502</x:v>
      </x:c>
      <x:c r="H317" s="269"/>
    </x:row>
    <x:row r="318" ht="48" customHeight="1">
      <x:c r="A318" s="269" t="s">
        <x:v>545</x:v>
      </x:c>
      <x:c r="B318" s="102" t="n">
        <x:f>MAX(C318:D318)</x:f>
        <x:v>2</x:v>
      </x:c>
      <x:c r="C318" s="102">
        <x:v>2</x:v>
      </x:c>
      <x:c r="D318" s="102">
        <x:v>2</x:v>
      </x:c>
      <x:c r="E318" s="269" t="s">
        <x:v>228</x:v>
      </x:c>
      <x:c r="F318" s="269"/>
      <x:c r="G318" s="269" t="s">
        <x:v>508</x:v>
      </x:c>
      <x:c r="H318" s="269"/>
    </x:row>
    <x:row r="319" ht="48" customHeight="1">
      <x:c r="A319" s="269" t="s">
        <x:v>546</x:v>
      </x:c>
      <x:c r="B319" s="102" t="n">
        <x:f>MAX(C319:D319)</x:f>
        <x:v>2</x:v>
      </x:c>
      <x:c r="C319" s="102">
        <x:v>2</x:v>
      </x:c>
      <x:c r="D319" s="102">
        <x:v>2</x:v>
      </x:c>
      <x:c r="E319" s="269" t="s">
        <x:v>228</x:v>
      </x:c>
      <x:c r="F319" s="269"/>
      <x:c r="G319" s="269" t="s">
        <x:v>320</x:v>
      </x:c>
      <x:c r="H319" s="269" t="s">
        <x:v>321</x:v>
      </x:c>
    </x:row>
    <x:row r="320" ht="48" customHeight="1">
      <x:c r="A320" s="269" t="s">
        <x:v>547</x:v>
      </x:c>
      <x:c r="B320" s="102" t="n">
        <x:f>MAX(C320:D320)</x:f>
        <x:v>1</x:v>
      </x:c>
      <x:c r="C320" s="102">
        <x:v>1</x:v>
      </x:c>
      <x:c r="D320" s="102">
        <x:v>1</x:v>
      </x:c>
      <x:c r="E320" s="269" t="s">
        <x:v>231</x:v>
      </x:c>
      <x:c r="F320" s="269"/>
      <x:c r="G320" s="269" t="s">
        <x:v>242</x:v>
      </x:c>
      <x:c r="H320" s="269"/>
    </x:row>
    <x:row r="321" ht="48" customHeight="1">
      <x:c r="A321" s="269" t="s">
        <x:v>548</x:v>
      </x:c>
      <x:c r="B321" s="102" t="n">
        <x:f>MAX(C321:D321)</x:f>
        <x:v>3</x:v>
      </x:c>
      <x:c r="C321" s="102">
        <x:v>2</x:v>
      </x:c>
      <x:c r="D321" s="102">
        <x:v>3</x:v>
      </x:c>
      <x:c r="E321" s="269" t="s">
        <x:v>228</x:v>
      </x:c>
      <x:c r="F321" s="269"/>
      <x:c r="G321" s="269" t="s">
        <x:v>235</x:v>
      </x:c>
      <x:c r="H321" s="269"/>
    </x:row>
    <x:row r="322" ht="48" customHeight="1">
      <x:c r="A322" s="269" t="s">
        <x:v>549</x:v>
      </x:c>
      <x:c r="B322" s="102" t="n">
        <x:f>MAX(C322:D322)</x:f>
        <x:v>3</x:v>
      </x:c>
      <x:c r="C322" s="102">
        <x:v>3</x:v>
      </x:c>
      <x:c r="D322" s="102">
        <x:v>3</x:v>
      </x:c>
      <x:c r="E322" s="269" t="s">
        <x:v>238</x:v>
      </x:c>
      <x:c r="F322" s="269"/>
      <x:c r="G322" s="269" t="s">
        <x:v>235</x:v>
      </x:c>
      <x:c r="H322" s="269"/>
    </x:row>
    <x:row r="323" ht="48" customHeight="1">
      <x:c r="A323" s="269" t="s">
        <x:v>550</x:v>
      </x:c>
      <x:c r="B323" s="102" t="n">
        <x:f>MAX(C323:D323)</x:f>
        <x:v>2</x:v>
      </x:c>
      <x:c r="C323" s="102">
        <x:v>2</x:v>
      </x:c>
      <x:c r="D323" s="102">
        <x:v>2</x:v>
      </x:c>
      <x:c r="E323" s="269" t="s">
        <x:v>228</x:v>
      </x:c>
      <x:c r="F323" s="269"/>
      <x:c r="G323" s="269" t="s">
        <x:v>235</x:v>
      </x:c>
      <x:c r="H323" s="269"/>
    </x:row>
    <x:row r="324" ht="28.049999237060547" customHeight="1">
      <x:c r="A324" s="265" t="s">
        <x:v>551</x:v>
      </x:c>
      <x:c r="B324" s="266" t="n">
        <x:f>SUM(B326,B327,B328,B329,B330,B332,B333,B334,B336,B337,B338,B340,B341,B342)</x:f>
        <x:v>36</x:v>
      </x:c>
      <x:c r="C324" s="266"/>
      <x:c r="D324" s="266"/>
      <x:c r="E324" s="265"/>
      <x:c r="F324" s="265"/>
      <x:c r="G324" s="265"/>
      <x:c r="H324" s="265"/>
    </x:row>
    <x:row r="325" ht="28.049999237060547" customHeight="1">
      <x:c r="A325" s="267" t="s">
        <x:v>388</x:v>
      </x:c>
      <x:c r="B325" s="268" t="n">
        <x:f>SUM(B326,B327,B328,B329,B330)</x:f>
        <x:v>10</x:v>
      </x:c>
      <x:c r="C325" s="268"/>
      <x:c r="D325" s="268"/>
      <x:c r="E325" s="267"/>
      <x:c r="F325" s="267"/>
      <x:c r="G325" s="267"/>
      <x:c r="H325" s="267"/>
    </x:row>
    <x:row r="326" ht="48" customHeight="1">
      <x:c r="A326" s="269" t="s">
        <x:v>552</x:v>
      </x:c>
      <x:c r="B326" s="102" t="n">
        <x:f>MAX(C326:D326)</x:f>
        <x:v>2</x:v>
      </x:c>
      <x:c r="C326" s="102">
        <x:v>2</x:v>
      </x:c>
      <x:c r="D326" s="102">
        <x:v>2</x:v>
      </x:c>
      <x:c r="E326" s="269" t="s">
        <x:v>228</x:v>
      </x:c>
      <x:c r="F326" s="269"/>
      <x:c r="G326" s="269" t="s">
        <x:v>235</x:v>
      </x:c>
      <x:c r="H326" s="269"/>
    </x:row>
    <x:row r="327" ht="48" customHeight="1">
      <x:c r="A327" s="269" t="s">
        <x:v>553</x:v>
      </x:c>
      <x:c r="B327" s="102" t="n">
        <x:f>MAX(C327:D327)</x:f>
        <x:v>2</x:v>
      </x:c>
      <x:c r="C327" s="102">
        <x:v>2</x:v>
      </x:c>
      <x:c r="D327" s="102">
        <x:v>2</x:v>
      </x:c>
      <x:c r="E327" s="269" t="s">
        <x:v>228</x:v>
      </x:c>
      <x:c r="F327" s="269"/>
      <x:c r="G327" s="269" t="s">
        <x:v>235</x:v>
      </x:c>
      <x:c r="H327" s="269"/>
    </x:row>
    <x:row r="328" ht="48" customHeight="1">
      <x:c r="A328" s="269" t="s">
        <x:v>554</x:v>
      </x:c>
      <x:c r="B328" s="102" t="n">
        <x:f>MAX(C328:D328)</x:f>
        <x:v>2</x:v>
      </x:c>
      <x:c r="C328" s="102">
        <x:v>1</x:v>
      </x:c>
      <x:c r="D328" s="102">
        <x:v>2</x:v>
      </x:c>
      <x:c r="E328" s="269" t="s">
        <x:v>231</x:v>
      </x:c>
      <x:c r="F328" s="269"/>
      <x:c r="G328" s="269" t="s">
        <x:v>441</x:v>
      </x:c>
      <x:c r="H328" s="269"/>
    </x:row>
    <x:row r="329" ht="48" customHeight="1">
      <x:c r="A329" s="269" t="s">
        <x:v>555</x:v>
      </x:c>
      <x:c r="B329" s="102" t="n">
        <x:f>MAX(C329:D329)</x:f>
        <x:v>2</x:v>
      </x:c>
      <x:c r="C329" s="102">
        <x:v>1</x:v>
      </x:c>
      <x:c r="D329" s="102">
        <x:v>2</x:v>
      </x:c>
      <x:c r="E329" s="269" t="s">
        <x:v>231</x:v>
      </x:c>
      <x:c r="F329" s="269"/>
      <x:c r="G329" s="269" t="s">
        <x:v>235</x:v>
      </x:c>
      <x:c r="H329" s="269"/>
    </x:row>
    <x:row r="330" ht="48" customHeight="1">
      <x:c r="A330" s="269" t="s">
        <x:v>556</x:v>
      </x:c>
      <x:c r="B330" s="102" t="n">
        <x:f>MAX(C330:D330)</x:f>
        <x:v>2</x:v>
      </x:c>
      <x:c r="C330" s="102">
        <x:v>2</x:v>
      </x:c>
      <x:c r="D330" s="102">
        <x:v>2</x:v>
      </x:c>
      <x:c r="E330" s="269" t="s">
        <x:v>228</x:v>
      </x:c>
      <x:c r="F330" s="269"/>
      <x:c r="G330" s="269" t="s">
        <x:v>235</x:v>
      </x:c>
      <x:c r="H330" s="269"/>
    </x:row>
    <x:row r="331" ht="28.049999237060547" customHeight="1">
      <x:c r="A331" s="267" t="s">
        <x:v>392</x:v>
      </x:c>
      <x:c r="B331" s="268" t="n">
        <x:f>SUM(B332,B333,B334)</x:f>
        <x:v>10</x:v>
      </x:c>
      <x:c r="C331" s="268"/>
      <x:c r="D331" s="268"/>
      <x:c r="E331" s="267"/>
      <x:c r="F331" s="267"/>
      <x:c r="G331" s="267"/>
      <x:c r="H331" s="267"/>
    </x:row>
    <x:row r="332" ht="48" customHeight="1">
      <x:c r="A332" s="269" t="s">
        <x:v>557</x:v>
      </x:c>
      <x:c r="B332" s="102" t="n">
        <x:f>MAX(C332:D332)</x:f>
        <x:v>3</x:v>
      </x:c>
      <x:c r="C332" s="102">
        <x:v>3</x:v>
      </x:c>
      <x:c r="D332" s="102">
        <x:v>3</x:v>
      </x:c>
      <x:c r="E332" s="269" t="s">
        <x:v>238</x:v>
      </x:c>
      <x:c r="F332" s="269"/>
      <x:c r="G332" s="269" t="s">
        <x:v>320</x:v>
      </x:c>
      <x:c r="H332" s="269" t="s">
        <x:v>326</x:v>
      </x:c>
    </x:row>
    <x:row r="333" ht="48" customHeight="1">
      <x:c r="A333" s="269" t="s">
        <x:v>558</x:v>
      </x:c>
      <x:c r="B333" s="102" t="n">
        <x:f>MAX(C333:D333)</x:f>
        <x:v>4</x:v>
      </x:c>
      <x:c r="C333" s="102">
        <x:v>4</x:v>
      </x:c>
      <x:c r="D333" s="102">
        <x:v>4</x:v>
      </x:c>
      <x:c r="E333" s="269" t="s">
        <x:v>477</x:v>
      </x:c>
      <x:c r="F333" s="269"/>
      <x:c r="G333" s="269" t="s">
        <x:v>559</x:v>
      </x:c>
      <x:c r="H333" s="269" t="s">
        <x:v>560</x:v>
      </x:c>
    </x:row>
    <x:row r="334" ht="48" customHeight="1">
      <x:c r="A334" s="269" t="s">
        <x:v>561</x:v>
      </x:c>
      <x:c r="B334" s="102" t="n">
        <x:f>MAX(C334:D334)</x:f>
        <x:v>3</x:v>
      </x:c>
      <x:c r="C334" s="102">
        <x:v>3</x:v>
      </x:c>
      <x:c r="D334" s="102">
        <x:v>3</x:v>
      </x:c>
      <x:c r="E334" s="269" t="s">
        <x:v>238</x:v>
      </x:c>
      <x:c r="F334" s="269"/>
      <x:c r="G334" s="269" t="s">
        <x:v>235</x:v>
      </x:c>
      <x:c r="H334" s="269"/>
    </x:row>
    <x:row r="335" ht="28.049999237060547" customHeight="1">
      <x:c r="A335" s="267" t="s">
        <x:v>397</x:v>
      </x:c>
      <x:c r="B335" s="268" t="n">
        <x:f>SUM(B336,B337,B338)</x:f>
        <x:v>10</x:v>
      </x:c>
      <x:c r="C335" s="268"/>
      <x:c r="D335" s="268"/>
      <x:c r="E335" s="267"/>
      <x:c r="F335" s="267"/>
      <x:c r="G335" s="267"/>
      <x:c r="H335" s="267"/>
    </x:row>
    <x:row r="336" ht="48" customHeight="1">
      <x:c r="A336" s="269" t="s">
        <x:v>562</x:v>
      </x:c>
      <x:c r="B336" s="102" t="n">
        <x:f>MAX(C336:D336)</x:f>
        <x:v>4</x:v>
      </x:c>
      <x:c r="C336" s="102">
        <x:v>4</x:v>
      </x:c>
      <x:c r="D336" s="102">
        <x:v>4</x:v>
      </x:c>
      <x:c r="E336" s="269" t="s">
        <x:v>477</x:v>
      </x:c>
      <x:c r="F336" s="269"/>
      <x:c r="G336" s="269" t="s">
        <x:v>563</x:v>
      </x:c>
      <x:c r="H336" s="269" t="s">
        <x:v>560</x:v>
      </x:c>
    </x:row>
    <x:row r="337" ht="48" customHeight="1">
      <x:c r="A337" s="269" t="s">
        <x:v>564</x:v>
      </x:c>
      <x:c r="B337" s="102" t="n">
        <x:f>MAX(C337:D337)</x:f>
        <x:v>3</x:v>
      </x:c>
      <x:c r="C337" s="102">
        <x:v>3</x:v>
      </x:c>
      <x:c r="D337" s="102">
        <x:v>3</x:v>
      </x:c>
      <x:c r="E337" s="269" t="s">
        <x:v>238</x:v>
      </x:c>
      <x:c r="F337" s="269"/>
      <x:c r="G337" s="269" t="s">
        <x:v>320</x:v>
      </x:c>
      <x:c r="H337" s="269"/>
    </x:row>
    <x:row r="338" ht="48" customHeight="1">
      <x:c r="A338" s="269" t="s">
        <x:v>565</x:v>
      </x:c>
      <x:c r="B338" s="102" t="n">
        <x:f>MAX(C338:D338)</x:f>
        <x:v>3</x:v>
      </x:c>
      <x:c r="C338" s="102">
        <x:v>3</x:v>
      </x:c>
      <x:c r="D338" s="102">
        <x:v>3</x:v>
      </x:c>
      <x:c r="E338" s="269" t="s">
        <x:v>238</x:v>
      </x:c>
      <x:c r="F338" s="269"/>
      <x:c r="G338" s="269" t="s">
        <x:v>415</x:v>
      </x:c>
      <x:c r="H338" s="269" t="s">
        <x:v>326</x:v>
      </x:c>
    </x:row>
    <x:row r="339" ht="28.049999237060547" customHeight="1">
      <x:c r="A339" s="267" t="s">
        <x:v>403</x:v>
      </x:c>
      <x:c r="B339" s="268" t="n">
        <x:f>SUM(B340,B341,B342)</x:f>
        <x:v>6</x:v>
      </x:c>
      <x:c r="C339" s="268"/>
      <x:c r="D339" s="268"/>
      <x:c r="E339" s="267"/>
      <x:c r="F339" s="267"/>
      <x:c r="G339" s="267"/>
      <x:c r="H339" s="267"/>
    </x:row>
    <x:row r="340" ht="48" customHeight="1">
      <x:c r="A340" s="269" t="s">
        <x:v>566</x:v>
      </x:c>
      <x:c r="B340" s="102" t="n">
        <x:f>MAX(C340:D340)</x:f>
        <x:v>2</x:v>
      </x:c>
      <x:c r="C340" s="102">
        <x:v>2</x:v>
      </x:c>
      <x:c r="D340" s="102">
        <x:v>2</x:v>
      </x:c>
      <x:c r="E340" s="269" t="s">
        <x:v>228</x:v>
      </x:c>
      <x:c r="F340" s="269"/>
      <x:c r="G340" s="269" t="s">
        <x:v>235</x:v>
      </x:c>
      <x:c r="H340" s="269"/>
    </x:row>
    <x:row r="341" ht="48" customHeight="1">
      <x:c r="A341" s="269" t="s">
        <x:v>567</x:v>
      </x:c>
      <x:c r="B341" s="102" t="n">
        <x:f>MAX(C341:D341)</x:f>
        <x:v>2</x:v>
      </x:c>
      <x:c r="C341" s="102">
        <x:v>2</x:v>
      </x:c>
      <x:c r="D341" s="102">
        <x:v>2</x:v>
      </x:c>
      <x:c r="E341" s="269" t="s">
        <x:v>228</x:v>
      </x:c>
      <x:c r="F341" s="269"/>
      <x:c r="G341" s="269" t="s">
        <x:v>235</x:v>
      </x:c>
      <x:c r="H341" s="269"/>
    </x:row>
    <x:row r="342" ht="48" customHeight="1">
      <x:c r="A342" s="269" t="s">
        <x:v>568</x:v>
      </x:c>
      <x:c r="B342" s="102" t="n">
        <x:f>MAX(C342:D342)</x:f>
        <x:v>2</x:v>
      </x:c>
      <x:c r="C342" s="102">
        <x:v>2</x:v>
      </x:c>
      <x:c r="D342" s="102">
        <x:v>2</x:v>
      </x:c>
      <x:c r="E342" s="269" t="s">
        <x:v>228</x:v>
      </x:c>
      <x:c r="F342" s="269"/>
      <x:c r="G342" s="269" t="s">
        <x:v>233</x:v>
      </x:c>
      <x:c r="H342" s="269"/>
    </x:row>
    <x:row r="343" ht="28.049999237060547" customHeight="1">
      <x:c r="A343" s="265" t="s">
        <x:v>569</x:v>
      </x:c>
      <x:c r="B343" s="266" t="n">
        <x:f>SUM(B345,B346,B347,B348,B349)</x:f>
        <x:v>15</x:v>
      </x:c>
      <x:c r="C343" s="266"/>
      <x:c r="D343" s="266"/>
      <x:c r="E343" s="265"/>
      <x:c r="F343" s="265"/>
      <x:c r="G343" s="265"/>
      <x:c r="H343" s="265"/>
    </x:row>
    <x:row r="344" ht="28.049999237060547" customHeight="1">
      <x:c r="A344" s="267" t="s">
        <x:v>570</x:v>
      </x:c>
      <x:c r="B344" s="268" t="n">
        <x:f>SUM(B345,B346,B347,B348,B349)</x:f>
        <x:v>15</x:v>
      </x:c>
      <x:c r="C344" s="268"/>
      <x:c r="D344" s="268"/>
      <x:c r="E344" s="267"/>
      <x:c r="F344" s="267"/>
      <x:c r="G344" s="267"/>
      <x:c r="H344" s="267"/>
    </x:row>
    <x:row r="345" ht="48" customHeight="1">
      <x:c r="A345" s="269" t="s">
        <x:v>571</x:v>
      </x:c>
      <x:c r="B345" s="102" t="n">
        <x:f>MAX(C345:D345)</x:f>
        <x:v>3</x:v>
      </x:c>
      <x:c r="C345" s="102">
        <x:v>3</x:v>
      </x:c>
      <x:c r="D345" s="102">
        <x:v>2</x:v>
      </x:c>
      <x:c r="E345" s="269" t="s">
        <x:v>238</x:v>
      </x:c>
      <x:c r="F345" s="269"/>
      <x:c r="G345" s="269" t="s">
        <x:v>235</x:v>
      </x:c>
      <x:c r="H345" s="269"/>
    </x:row>
    <x:row r="346" ht="48" customHeight="1">
      <x:c r="A346" s="269" t="s">
        <x:v>572</x:v>
      </x:c>
      <x:c r="B346" s="102" t="n">
        <x:f>MAX(C346:D346)</x:f>
        <x:v>2</x:v>
      </x:c>
      <x:c r="C346" s="102">
        <x:v>1</x:v>
      </x:c>
      <x:c r="D346" s="102">
        <x:v>2</x:v>
      </x:c>
      <x:c r="E346" s="269" t="s">
        <x:v>231</x:v>
      </x:c>
      <x:c r="F346" s="269"/>
      <x:c r="G346" s="269" t="s">
        <x:v>235</x:v>
      </x:c>
      <x:c r="H346" s="269"/>
    </x:row>
    <x:row r="347" ht="48" customHeight="1">
      <x:c r="A347" s="269" t="s">
        <x:v>573</x:v>
      </x:c>
      <x:c r="B347" s="102" t="n">
        <x:f>MAX(C347:D347)</x:f>
        <x:v>4</x:v>
      </x:c>
      <x:c r="C347" s="102">
        <x:v>4</x:v>
      </x:c>
      <x:c r="D347" s="102">
        <x:v>3</x:v>
      </x:c>
      <x:c r="E347" s="269" t="s">
        <x:v>477</x:v>
      </x:c>
      <x:c r="F347" s="269"/>
      <x:c r="G347" s="269" t="s">
        <x:v>415</x:v>
      </x:c>
      <x:c r="H347" s="269" t="s">
        <x:v>326</x:v>
      </x:c>
    </x:row>
    <x:row r="348" ht="48" customHeight="1">
      <x:c r="A348" s="269" t="s">
        <x:v>574</x:v>
      </x:c>
      <x:c r="B348" s="102" t="n">
        <x:f>MAX(C348:D348)</x:f>
        <x:v>3</x:v>
      </x:c>
      <x:c r="C348" s="102">
        <x:v>2</x:v>
      </x:c>
      <x:c r="D348" s="102">
        <x:v>3</x:v>
      </x:c>
      <x:c r="E348" s="269" t="s">
        <x:v>228</x:v>
      </x:c>
      <x:c r="F348" s="269"/>
      <x:c r="G348" s="269" t="s">
        <x:v>415</x:v>
      </x:c>
      <x:c r="H348" s="269"/>
    </x:row>
    <x:row r="349" ht="48" customHeight="1">
      <x:c r="A349" s="269" t="s">
        <x:v>575</x:v>
      </x:c>
      <x:c r="B349" s="102" t="n">
        <x:f>MAX(C349:D349)</x:f>
        <x:v>3</x:v>
      </x:c>
      <x:c r="C349" s="102">
        <x:v>2</x:v>
      </x:c>
      <x:c r="D349" s="102">
        <x:v>3</x:v>
      </x:c>
      <x:c r="E349" s="269" t="s">
        <x:v>228</x:v>
      </x:c>
      <x:c r="F349" s="269"/>
      <x:c r="G349" s="269" t="s">
        <x:v>415</x:v>
      </x:c>
      <x:c r="H349" s="269"/>
    </x:row>
    <x:row r="350">
      <x:c r="A350" s="101"/>
      <x:c r="B350" s="101"/>
      <x:c r="C350" s="101"/>
      <x:c r="D350" s="101"/>
      <x:c r="E350" s="101"/>
      <x:c r="F350" s="101"/>
      <x:c r="G350" s="101"/>
      <x:c r="H350" s="101"/>
    </x:row>
    <x:row r="351" ht="25.049999237060547" customHeight="1">
      <x:c r="A351" s="93" t="s">
        <x:v>576</x:v>
      </x:c>
      <x:c r="B351" s="277" t="n">
        <x:f>SUM(B352,B357,B363,B369,B372)</x:f>
        <x:v>62</x:v>
      </x:c>
      <x:c r="C351" s="93"/>
      <x:c r="D351" s="93"/>
      <x:c r="E351" s="93"/>
      <x:c r="F351" s="93"/>
      <x:c r="G351" s="93" t="s">
        <x:v>577</x:v>
      </x:c>
      <x:c r="H351" s="93"/>
    </x:row>
    <x:row r="352" ht="22.950000762939453" customHeight="1">
      <x:c r="A352" s="95" t="s">
        <x:v>578</x:v>
      </x:c>
      <x:c r="B352" s="278" t="n">
        <x:f>SUM(B353:B356)</x:f>
        <x:v>11</x:v>
      </x:c>
      <x:c r="C352" s="95"/>
      <x:c r="D352" s="95"/>
      <x:c r="E352" s="95"/>
      <x:c r="F352" s="95"/>
      <x:c r="G352" s="95"/>
      <x:c r="H352" s="95"/>
    </x:row>
    <x:row r="353" ht="22.950000762939453" customHeight="1">
      <x:c r="A353" s="269" t="s">
        <x:v>579</x:v>
      </x:c>
      <x:c r="B353" s="279">
        <x:v>2</x:v>
      </x:c>
      <x:c r="C353" s="101"/>
      <x:c r="D353" s="101"/>
      <x:c r="E353" s="101"/>
      <x:c r="F353" s="101"/>
      <x:c r="G353" s="101"/>
      <x:c r="H353" s="101"/>
    </x:row>
    <x:row r="354" ht="22.950000762939453" customHeight="1">
      <x:c r="A354" s="269" t="s">
        <x:v>580</x:v>
      </x:c>
      <x:c r="B354" s="279">
        <x:v>4</x:v>
      </x:c>
      <x:c r="C354" s="101"/>
      <x:c r="D354" s="101"/>
      <x:c r="E354" s="101"/>
      <x:c r="F354" s="101"/>
      <x:c r="G354" s="101"/>
      <x:c r="H354" s="101"/>
    </x:row>
    <x:row r="355" ht="22.950000762939453" customHeight="1">
      <x:c r="A355" s="269" t="s">
        <x:v>581</x:v>
      </x:c>
      <x:c r="B355" s="279">
        <x:v>3</x:v>
      </x:c>
      <x:c r="C355" s="101"/>
      <x:c r="D355" s="101"/>
      <x:c r="E355" s="101"/>
      <x:c r="F355" s="101"/>
      <x:c r="G355" s="101"/>
      <x:c r="H355" s="101"/>
    </x:row>
    <x:row r="356" ht="22.950000762939453" customHeight="1">
      <x:c r="A356" s="269" t="s">
        <x:v>582</x:v>
      </x:c>
      <x:c r="B356" s="279">
        <x:v>2</x:v>
      </x:c>
      <x:c r="C356" s="101"/>
      <x:c r="D356" s="101"/>
      <x:c r="E356" s="101"/>
      <x:c r="F356" s="101"/>
      <x:c r="G356" s="101"/>
      <x:c r="H356" s="101"/>
    </x:row>
    <x:row r="357" ht="22.950000762939453" customHeight="1">
      <x:c r="A357" s="95" t="s">
        <x:v>583</x:v>
      </x:c>
      <x:c r="B357" s="278" t="n">
        <x:f>SUM(B358:B362)</x:f>
        <x:v>17</x:v>
      </x:c>
      <x:c r="C357" s="95"/>
      <x:c r="D357" s="95"/>
      <x:c r="E357" s="95"/>
      <x:c r="F357" s="95"/>
      <x:c r="G357" s="95"/>
      <x:c r="H357" s="95"/>
    </x:row>
    <x:row r="358" ht="22.950000762939453" customHeight="1">
      <x:c r="A358" s="269" t="s">
        <x:v>584</x:v>
      </x:c>
      <x:c r="B358" s="279">
        <x:v>3</x:v>
      </x:c>
      <x:c r="C358" s="101"/>
      <x:c r="D358" s="101"/>
      <x:c r="E358" s="101"/>
      <x:c r="F358" s="101"/>
      <x:c r="G358" s="101"/>
      <x:c r="H358" s="101"/>
    </x:row>
    <x:row r="359" ht="22.950000762939453" customHeight="1">
      <x:c r="A359" s="269" t="s">
        <x:v>585</x:v>
      </x:c>
      <x:c r="B359" s="279">
        <x:v>3</x:v>
      </x:c>
      <x:c r="C359" s="101"/>
      <x:c r="D359" s="101"/>
      <x:c r="E359" s="101"/>
      <x:c r="F359" s="101"/>
      <x:c r="G359" s="101"/>
      <x:c r="H359" s="101"/>
    </x:row>
    <x:row r="360" ht="22.950000762939453" customHeight="1">
      <x:c r="A360" s="269" t="s">
        <x:v>586</x:v>
      </x:c>
      <x:c r="B360" s="279">
        <x:v>4</x:v>
      </x:c>
      <x:c r="C360" s="101"/>
      <x:c r="D360" s="101"/>
      <x:c r="E360" s="101"/>
      <x:c r="F360" s="101"/>
      <x:c r="G360" s="101"/>
      <x:c r="H360" s="101"/>
    </x:row>
    <x:row r="361" ht="22.950000762939453" customHeight="1">
      <x:c r="A361" s="269" t="s">
        <x:v>587</x:v>
      </x:c>
      <x:c r="B361" s="279">
        <x:v>4</x:v>
      </x:c>
      <x:c r="C361" s="101"/>
      <x:c r="D361" s="101"/>
      <x:c r="E361" s="101"/>
      <x:c r="F361" s="101"/>
      <x:c r="G361" s="101"/>
      <x:c r="H361" s="101"/>
    </x:row>
    <x:row r="362" ht="22.950000762939453" customHeight="1">
      <x:c r="A362" s="269" t="s">
        <x:v>588</x:v>
      </x:c>
      <x:c r="B362" s="279">
        <x:v>3</x:v>
      </x:c>
      <x:c r="C362" s="101"/>
      <x:c r="D362" s="101"/>
      <x:c r="E362" s="101"/>
      <x:c r="F362" s="101"/>
      <x:c r="G362" s="101"/>
      <x:c r="H362" s="101"/>
    </x:row>
    <x:row r="363" ht="22.950000762939453" customHeight="1">
      <x:c r="A363" s="95" t="s">
        <x:v>589</x:v>
      </x:c>
      <x:c r="B363" s="278" t="n">
        <x:f>SUM(B364:B368)</x:f>
        <x:v>16</x:v>
      </x:c>
      <x:c r="C363" s="95"/>
      <x:c r="D363" s="95"/>
      <x:c r="E363" s="95"/>
      <x:c r="F363" s="95"/>
      <x:c r="G363" s="95"/>
      <x:c r="H363" s="95"/>
    </x:row>
    <x:row r="364" ht="22.950000762939453" customHeight="1">
      <x:c r="A364" s="269" t="s">
        <x:v>590</x:v>
      </x:c>
      <x:c r="B364" s="279">
        <x:v>4</x:v>
      </x:c>
      <x:c r="C364" s="101"/>
      <x:c r="D364" s="101"/>
      <x:c r="E364" s="101"/>
      <x:c r="F364" s="101"/>
      <x:c r="G364" s="101"/>
      <x:c r="H364" s="101"/>
    </x:row>
    <x:row r="365" ht="22.950000762939453" customHeight="1">
      <x:c r="A365" s="269" t="s">
        <x:v>591</x:v>
      </x:c>
      <x:c r="B365" s="279">
        <x:v>3</x:v>
      </x:c>
      <x:c r="C365" s="101"/>
      <x:c r="D365" s="101"/>
      <x:c r="E365" s="101"/>
      <x:c r="F365" s="101"/>
      <x:c r="G365" s="101"/>
      <x:c r="H365" s="101"/>
    </x:row>
    <x:row r="366" ht="22.950000762939453" customHeight="1">
      <x:c r="A366" s="269" t="s">
        <x:v>592</x:v>
      </x:c>
      <x:c r="B366" s="279">
        <x:v>4</x:v>
      </x:c>
      <x:c r="C366" s="101"/>
      <x:c r="D366" s="101"/>
      <x:c r="E366" s="101"/>
      <x:c r="F366" s="101"/>
      <x:c r="G366" s="101"/>
      <x:c r="H366" s="101"/>
    </x:row>
    <x:row r="367" ht="22.950000762939453" customHeight="1">
      <x:c r="A367" s="269" t="s">
        <x:v>593</x:v>
      </x:c>
      <x:c r="B367" s="279">
        <x:v>3</x:v>
      </x:c>
      <x:c r="C367" s="101"/>
      <x:c r="D367" s="101"/>
      <x:c r="E367" s="101"/>
      <x:c r="F367" s="101"/>
      <x:c r="G367" s="101"/>
      <x:c r="H367" s="101"/>
    </x:row>
    <x:row r="368" ht="22.950000762939453" customHeight="1">
      <x:c r="A368" s="269" t="s">
        <x:v>594</x:v>
      </x:c>
      <x:c r="B368" s="279">
        <x:v>2</x:v>
      </x:c>
      <x:c r="C368" s="101"/>
      <x:c r="D368" s="101"/>
      <x:c r="E368" s="101"/>
      <x:c r="F368" s="101"/>
      <x:c r="G368" s="101"/>
      <x:c r="H368" s="101"/>
    </x:row>
    <x:row r="369" ht="22.950000762939453" customHeight="1">
      <x:c r="A369" s="95" t="s">
        <x:v>595</x:v>
      </x:c>
      <x:c r="B369" s="278" t="n">
        <x:f>SUM(B370:B371)</x:f>
        <x:v>7</x:v>
      </x:c>
      <x:c r="C369" s="95"/>
      <x:c r="D369" s="95"/>
      <x:c r="E369" s="95"/>
      <x:c r="F369" s="95"/>
      <x:c r="G369" s="95"/>
      <x:c r="H369" s="95"/>
    </x:row>
    <x:row r="370" ht="22.950000762939453" customHeight="1">
      <x:c r="A370" s="269" t="s">
        <x:v>596</x:v>
      </x:c>
      <x:c r="B370" s="279">
        <x:v>4</x:v>
      </x:c>
      <x:c r="C370" s="101"/>
      <x:c r="D370" s="101"/>
      <x:c r="E370" s="101"/>
      <x:c r="F370" s="101"/>
      <x:c r="G370" s="101"/>
      <x:c r="H370" s="101"/>
    </x:row>
    <x:row r="371" ht="22.950000762939453" customHeight="1">
      <x:c r="A371" s="269" t="s">
        <x:v>597</x:v>
      </x:c>
      <x:c r="B371" s="279">
        <x:v>3</x:v>
      </x:c>
      <x:c r="C371" s="101"/>
      <x:c r="D371" s="101"/>
      <x:c r="E371" s="101"/>
      <x:c r="F371" s="101"/>
      <x:c r="G371" s="101"/>
      <x:c r="H371" s="101"/>
    </x:row>
    <x:row r="372" ht="22.950000762939453" customHeight="1">
      <x:c r="A372" s="95" t="s">
        <x:v>598</x:v>
      </x:c>
      <x:c r="B372" s="278" t="n">
        <x:f>SUM(B373:B376)</x:f>
        <x:v>11</x:v>
      </x:c>
      <x:c r="C372" s="95"/>
      <x:c r="D372" s="95"/>
      <x:c r="E372" s="95"/>
      <x:c r="F372" s="95"/>
      <x:c r="G372" s="95"/>
      <x:c r="H372" s="95"/>
    </x:row>
    <x:row r="373" ht="22.950000762939453" customHeight="1">
      <x:c r="A373" s="269" t="s">
        <x:v>599</x:v>
      </x:c>
      <x:c r="B373" s="279">
        <x:v>3</x:v>
      </x:c>
      <x:c r="C373" s="101"/>
      <x:c r="D373" s="101"/>
      <x:c r="E373" s="101"/>
      <x:c r="F373" s="101"/>
      <x:c r="G373" s="101"/>
      <x:c r="H373" s="101"/>
    </x:row>
    <x:row r="374" ht="22.950000762939453" customHeight="1">
      <x:c r="A374" s="269" t="s">
        <x:v>600</x:v>
      </x:c>
      <x:c r="B374" s="279">
        <x:v>3</x:v>
      </x:c>
      <x:c r="C374" s="101"/>
      <x:c r="D374" s="101"/>
      <x:c r="E374" s="101"/>
      <x:c r="F374" s="101"/>
      <x:c r="G374" s="101"/>
      <x:c r="H374" s="101"/>
    </x:row>
    <x:row r="375" ht="22.950000762939453" customHeight="1">
      <x:c r="A375" s="269" t="s">
        <x:v>601</x:v>
      </x:c>
      <x:c r="B375" s="279">
        <x:v>2</x:v>
      </x:c>
      <x:c r="C375" s="101"/>
      <x:c r="D375" s="101"/>
      <x:c r="E375" s="101"/>
      <x:c r="F375" s="101"/>
      <x:c r="G375" s="101"/>
      <x:c r="H375" s="101"/>
    </x:row>
    <x:row r="376" ht="22.950000762939453" customHeight="1">
      <x:c r="A376" s="269" t="s">
        <x:v>602</x:v>
      </x:c>
      <x:c r="B376" s="279">
        <x:v>3</x:v>
      </x:c>
      <x:c r="C376" s="101"/>
      <x:c r="D376" s="101"/>
      <x:c r="E376" s="101"/>
      <x:c r="F376" s="101"/>
      <x:c r="G376" s="101"/>
      <x:c r="H376" s="101"/>
    </x:row>
    <x:row r="377" ht="22.950000762939453" customHeight="1">
      <x:c r="A377" s="95" t="s">
        <x:v>603</x:v>
      </x:c>
      <x:c r="B377" s="278" t="n">
        <x:f>SUM(B352,B357,B363,B369,B372)</x:f>
        <x:v>62</x:v>
      </x:c>
      <x:c r="C377" s="95"/>
      <x:c r="D377" s="95"/>
      <x:c r="E377" s="95"/>
      <x:c r="F377" s="95"/>
      <x:c r="G377" s="95"/>
      <x:c r="H377" s="95"/>
    </x:row>
  </x:sheetData>
  <x:conditionalFormatting sqref="C7:D349">
    <x:cfRule type="cellIs" dxfId="0" priority="1" operator="greaterThanOrEqual">
      <x:formula>3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4.399999618530273"/>
  <x:cols>
    <x:col min="1" max="1" width="22" style="33" hidden="0" customWidth="1"/>
    <x:col min="2" max="2" width="112" style="33" hidden="0" customWidth="1"/>
    <x:col min="3" max="16384" width="8.88671875" style="33" customWidth="0"/>
  </x:cols>
  <x:sheetData>
    <x:row r="1">
      <x:c r="A1" s="34"/>
      <x:c r="B1" s="34"/>
    </x:row>
    <x:row r="2" ht="33" customHeight="1">
      <x:c r="A2" s="280" t="s">
        <x:v>604</x:v>
      </x:c>
      <x:c r="B2" s="101"/>
    </x:row>
    <x:row r="3">
      <x:c r="A3" s="101"/>
      <x:c r="B3" s="101"/>
    </x:row>
    <x:row r="4" ht="27" customHeight="1">
      <x:c r="A4" s="288" t="s">
        <x:v>605</x:v>
      </x:c>
      <x:c r="B4" s="288" t="s">
        <x:v>606</x:v>
      </x:c>
    </x:row>
    <x:row r="5" ht="24" customHeight="1">
      <x:c r="A5" s="289" t="s">
        <x:v>607</x:v>
      </x:c>
      <x:c r="B5" s="289" t="s">
        <x:v>608</x:v>
      </x:c>
    </x:row>
    <x:row r="6" ht="24" customHeight="1">
      <x:c r="A6" s="291" t="s">
        <x:v>609</x:v>
      </x:c>
      <x:c r="B6" s="291" t="s">
        <x:v>610</x:v>
      </x:c>
    </x:row>
    <x:row r="7" ht="24" customHeight="1">
      <x:c r="A7" s="289" t="s">
        <x:v>611</x:v>
      </x:c>
      <x:c r="B7" s="289" t="s">
        <x:v>612</x:v>
      </x:c>
    </x:row>
    <x:row r="8" ht="24" customHeight="1">
      <x:c r="A8" s="291" t="s">
        <x:v>613</x:v>
      </x:c>
      <x:c r="B8" s="291" t="s">
        <x:v>614</x:v>
      </x:c>
    </x:row>
    <x:row r="9" ht="24" customHeight="1">
      <x:c r="A9" s="289" t="s">
        <x:v>615</x:v>
      </x:c>
      <x:c r="B9" s="289" t="s">
        <x:v>616</x:v>
      </x:c>
    </x:row>
    <x:row r="10" ht="24" customHeight="1">
      <x:c r="A10" s="291" t="s">
        <x:v>617</x:v>
      </x:c>
      <x:c r="B10" s="291" t="s">
        <x:v>618</x:v>
      </x:c>
    </x:row>
    <x:row r="11" ht="24" customHeight="1">
      <x:c r="A11" s="289" t="s">
        <x:v>619</x:v>
      </x:c>
      <x:c r="B11" s="289" t="s">
        <x:v>620</x:v>
      </x:c>
    </x:row>
    <x:row r="12" ht="24" customHeight="1">
      <x:c r="A12" s="291" t="s">
        <x:v>621</x:v>
      </x:c>
      <x:c r="B12" s="291" t="s">
        <x:v>622</x:v>
      </x:c>
    </x:row>
    <x:row r="13" ht="24" customHeight="1">
      <x:c r="A13" s="289" t="s">
        <x:v>623</x:v>
      </x:c>
      <x:c r="B13" s="289" t="s">
        <x:v>624</x:v>
      </x:c>
    </x:row>
    <x:row r="14" ht="24" customHeight="1">
      <x:c r="A14" s="291" t="s">
        <x:v>218</x:v>
      </x:c>
      <x:c r="B14" s="291" t="s">
        <x:v>625</x:v>
      </x:c>
    </x:row>
    <x:row r="15" ht="24" customHeight="1">
      <x:c r="A15" s="289" t="s">
        <x:v>626</x:v>
      </x:c>
      <x:c r="B15" s="289" t="s">
        <x:v>627</x:v>
      </x:c>
    </x:row>
    <x:row r="16" ht="24" customHeight="1">
      <x:c r="A16" s="291" t="s">
        <x:v>628</x:v>
      </x:c>
      <x:c r="B16" s="291" t="s">
        <x:v>629</x:v>
      </x:c>
    </x:row>
    <x:row r="17" ht="24" customHeight="1">
      <x:c r="A17" s="289" t="s">
        <x:v>630</x:v>
      </x:c>
      <x:c r="B17" s="289" t="s">
        <x:v>631</x:v>
      </x:c>
    </x:row>
    <x:row r="18" ht="24" customHeight="1">
      <x:c r="A18" s="291" t="s">
        <x:v>632</x:v>
      </x:c>
      <x:c r="B18" s="291" t="s">
        <x:v>633</x:v>
      </x:c>
    </x:row>
    <x:row r="19" ht="24" customHeight="1">
      <x:c r="A19" s="289" t="s">
        <x:v>634</x:v>
      </x:c>
      <x:c r="B19" s="289" t="s">
        <x:v>635</x:v>
      </x:c>
    </x:row>
    <x:row r="20" ht="24" customHeight="1">
      <x:c r="A20" s="291" t="s">
        <x:v>636</x:v>
      </x:c>
      <x:c r="B20" s="291" t="s">
        <x:v>637</x:v>
      </x:c>
    </x:row>
    <x:row r="21" ht="24" customHeight="1">
      <x:c r="A21" s="289" t="s">
        <x:v>638</x:v>
      </x:c>
      <x:c r="B21" s="289" t="s">
        <x:v>639</x:v>
      </x:c>
    </x:row>
    <x:row r="22" ht="24" customHeight="1">
      <x:c r="A22" s="291" t="s">
        <x:v>640</x:v>
      </x:c>
      <x:c r="B22" s="291" t="s">
        <x:v>641</x:v>
      </x:c>
    </x:row>
    <x:row r="23" ht="24" customHeight="1">
      <x:c r="A23" s="289" t="s">
        <x:v>642</x:v>
      </x:c>
      <x:c r="B23" s="289" t="s">
        <x:v>643</x:v>
      </x:c>
    </x:row>
    <x:row r="24" ht="24" customHeight="1">
      <x:c r="A24" s="291" t="s">
        <x:v>644</x:v>
      </x:c>
      <x:c r="B24" s="291" t="s">
        <x:v>645</x:v>
      </x:c>
    </x:row>
    <x:row r="25" ht="24" customHeight="1">
      <x:c r="A25" s="289" t="s">
        <x:v>646</x:v>
      </x:c>
      <x:c r="B25" s="289" t="s">
        <x:v>647</x:v>
      </x:c>
    </x:row>
    <x:row r="26" ht="24" customHeight="1">
      <x:c r="A26" s="291" t="s">
        <x:v>648</x:v>
      </x:c>
      <x:c r="B26" s="291" t="s">
        <x:v>649</x:v>
      </x:c>
    </x:row>
    <x:row r="27" ht="24" customHeight="1">
      <x:c r="A27" s="289" t="s">
        <x:v>650</x:v>
      </x:c>
      <x:c r="B27" s="289" t="s">
        <x:v>651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sheetData/>
  <x:pageMargins left="0.7" right="0.7" top="0.75" bottom="0.75" header="0.3" footer="0.3"/>
</x:worksheet>
</file>